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_Roadmap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90_Day_Plan" sheetId="3" state="visible" r:id="rId3"/>
    <sheet xmlns:r="http://schemas.openxmlformats.org/officeDocument/2006/relationships" name="Interview_Q_Bank" sheetId="4" state="visible" r:id="rId4"/>
    <sheet xmlns:r="http://schemas.openxmlformats.org/officeDocument/2006/relationships" name="How_to_Use" sheetId="5" state="visible" r:id="rId5"/>
  </sheets>
  <definedNames>
    <definedName name="_xlnm._FilterDatabase" localSheetId="0" hidden="1">'Learning_Roadmap'!$A$1:$R$101</definedName>
    <definedName name="_xlnm._FilterDatabase" localSheetId="2" hidden="1">'90_Day_Plan'!$A$1:$E$13</definedName>
    <definedName name="_xlnm._FilterDatabase" localSheetId="3" hidden="1">'Interview_Q_Bank'!$A$1:$C$11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48" customWidth="1" min="4" max="4"/>
    <col width="38" customWidth="1" min="5" max="5"/>
    <col width="46" customWidth="1" min="6" max="6"/>
    <col width="44" customWidth="1" min="7" max="7"/>
    <col width="34" customWidth="1" min="8" max="8"/>
    <col width="11" customWidth="1" min="9" max="9"/>
    <col width="11" customWidth="1" min="10" max="10"/>
    <col width="10" customWidth="1" min="11" max="11"/>
    <col width="18" customWidth="1" min="12" max="12"/>
    <col width="10" customWidth="1" min="13" max="13"/>
    <col width="12" customWidth="1" min="14" max="14"/>
    <col width="12" customWidth="1" min="15" max="15"/>
    <col width="14" customWidth="1" min="16" max="16"/>
    <col width="12" customWidth="1" min="17" max="17"/>
    <col width="28" customWidth="1" min="18" max="18"/>
  </cols>
  <sheetData>
    <row r="1">
      <c r="A1" s="1" t="inlineStr">
        <is>
          <t>Topic_ID</t>
        </is>
      </c>
      <c r="B1" s="1" t="inlineStr">
        <is>
          <t>Category</t>
        </is>
      </c>
      <c r="C1" s="1" t="inlineStr">
        <is>
          <t>Subcategory</t>
        </is>
      </c>
      <c r="D1" s="2" t="inlineStr">
        <is>
          <t>Topic</t>
        </is>
      </c>
      <c r="E1" s="2" t="inlineStr">
        <is>
          <t>Why_This_Matters</t>
        </is>
      </c>
      <c r="F1" s="2" t="inlineStr">
        <is>
          <t>What_to_Master</t>
        </is>
      </c>
      <c r="G1" s="2" t="inlineStr">
        <is>
          <t>Hands_On_Exercise</t>
        </is>
      </c>
      <c r="H1" s="2" t="inlineStr">
        <is>
          <t>Proof_Artifact</t>
        </is>
      </c>
      <c r="I1" s="1" t="inlineStr">
        <is>
          <t>Priority</t>
        </is>
      </c>
      <c r="J1" s="1" t="inlineStr">
        <is>
          <t>Difficulty</t>
        </is>
      </c>
      <c r="K1" s="1" t="inlineStr">
        <is>
          <t>Est_Hours</t>
        </is>
      </c>
      <c r="L1" s="1" t="inlineStr">
        <is>
          <t>Status</t>
        </is>
      </c>
      <c r="M1" s="1" t="inlineStr">
        <is>
          <t>Progress_%</t>
        </is>
      </c>
      <c r="N1" s="1" t="inlineStr">
        <is>
          <t>Start_Date</t>
        </is>
      </c>
      <c r="O1" s="1" t="inlineStr">
        <is>
          <t>Target_Date</t>
        </is>
      </c>
      <c r="P1" s="1" t="inlineStr">
        <is>
          <t>Completion_Date</t>
        </is>
      </c>
      <c r="Q1" s="1" t="inlineStr">
        <is>
          <t>Revision_Date</t>
        </is>
      </c>
      <c r="R1" s="2" t="inlineStr">
        <is>
          <t>Notes</t>
        </is>
      </c>
    </row>
    <row r="2">
      <c r="A2" s="3" t="inlineStr">
        <is>
          <t>APE-001</t>
        </is>
      </c>
      <c r="B2" s="3" t="inlineStr">
        <is>
          <t>Math + Retrieval Foundations</t>
        </is>
      </c>
      <c r="C2" s="3" t="inlineStr">
        <is>
          <t>Vector Mathematics</t>
        </is>
      </c>
      <c r="D2" s="4" t="inlineStr">
        <is>
          <t>What embedding dimensions mean and how to choose dimension size</t>
        </is>
      </c>
      <c r="E2" s="4" t="inlineStr">
        <is>
          <t>Supports your vector indexing and RAG work claims.</t>
        </is>
      </c>
      <c r="F2" s="4" t="inlineStr">
        <is>
          <t>Understand dimensionality, representational capacity, and trade-offs in memory and latency.</t>
        </is>
      </c>
      <c r="G2" s="4" t="inlineStr">
        <is>
          <t>Compare retrieval quality for 384, 768, and 1024 dimension embeddings on same corpus.</t>
        </is>
      </c>
      <c r="H2" s="4" t="inlineStr">
        <is>
          <t>Short benchmark note with findings and recommendation.</t>
        </is>
      </c>
      <c r="I2" s="3" t="inlineStr">
        <is>
          <t>High</t>
        </is>
      </c>
      <c r="J2" s="3" t="inlineStr">
        <is>
          <t>Medium</t>
        </is>
      </c>
      <c r="K2" s="3" t="n">
        <v>3</v>
      </c>
      <c r="L2" s="3" t="inlineStr">
        <is>
          <t>Not Started</t>
        </is>
      </c>
      <c r="M2" s="3" t="n">
        <v>0</v>
      </c>
      <c r="N2" s="3" t="inlineStr"/>
      <c r="O2" s="3" t="inlineStr">
        <is>
          <t>2026-03-31</t>
        </is>
      </c>
      <c r="P2" s="3" t="inlineStr"/>
      <c r="Q2" s="3" t="inlineStr"/>
      <c r="R2" s="4" t="inlineStr"/>
    </row>
    <row r="3">
      <c r="A3" s="3" t="inlineStr">
        <is>
          <t>APE-002</t>
        </is>
      </c>
      <c r="B3" s="3" t="inlineStr">
        <is>
          <t>Math + Retrieval Foundations</t>
        </is>
      </c>
      <c r="C3" s="3" t="inlineStr">
        <is>
          <t>Vector Mathematics</t>
        </is>
      </c>
      <c r="D3" s="4" t="inlineStr">
        <is>
          <t>Dot product, L2 norm, and vector angle intuition</t>
        </is>
      </c>
      <c r="E3" s="4" t="inlineStr">
        <is>
          <t>Supports your vector indexing and RAG work claims.</t>
        </is>
      </c>
      <c r="F3" s="4" t="inlineStr">
        <is>
          <t>Derive geometric meaning and relation to similarity scores.</t>
        </is>
      </c>
      <c r="G3" s="4" t="inlineStr">
        <is>
          <t>Implement similarity functions from scratch in Python and verify against library output.</t>
        </is>
      </c>
      <c r="H3" s="4" t="inlineStr">
        <is>
          <t>Notebook with code + interpretation plots.</t>
        </is>
      </c>
      <c r="I3" s="3" t="inlineStr">
        <is>
          <t>High</t>
        </is>
      </c>
      <c r="J3" s="3" t="inlineStr">
        <is>
          <t>Medium</t>
        </is>
      </c>
      <c r="K3" s="3" t="n">
        <v>3</v>
      </c>
      <c r="L3" s="3" t="inlineStr">
        <is>
          <t>Not Started</t>
        </is>
      </c>
      <c r="M3" s="3" t="n">
        <v>0</v>
      </c>
      <c r="N3" s="3" t="inlineStr"/>
      <c r="O3" s="3" t="inlineStr">
        <is>
          <t>2026-03-31</t>
        </is>
      </c>
      <c r="P3" s="3" t="inlineStr"/>
      <c r="Q3" s="3" t="inlineStr"/>
      <c r="R3" s="4" t="inlineStr"/>
    </row>
    <row r="4">
      <c r="A4" s="3" t="inlineStr">
        <is>
          <t>APE-003</t>
        </is>
      </c>
      <c r="B4" s="3" t="inlineStr">
        <is>
          <t>Math + Retrieval Foundations</t>
        </is>
      </c>
      <c r="C4" s="3" t="inlineStr">
        <is>
          <t>Vector Mathematics</t>
        </is>
      </c>
      <c r="D4" s="4" t="inlineStr">
        <is>
          <t>Cosine similarity: formula, intuition, and failure modes</t>
        </is>
      </c>
      <c r="E4" s="4" t="inlineStr">
        <is>
          <t>Supports your vector indexing and RAG work claims.</t>
        </is>
      </c>
      <c r="F4" s="4" t="inlineStr">
        <is>
          <t>Explain when cosine is preferred and where it can mislead.</t>
        </is>
      </c>
      <c r="G4" s="4" t="inlineStr">
        <is>
          <t>Run examples where cosine and euclidean rank neighbors differently.</t>
        </is>
      </c>
      <c r="H4" s="4" t="inlineStr">
        <is>
          <t>One-page explanation with numeric examples.</t>
        </is>
      </c>
      <c r="I4" s="3" t="inlineStr">
        <is>
          <t>High</t>
        </is>
      </c>
      <c r="J4" s="3" t="inlineStr">
        <is>
          <t>Medium</t>
        </is>
      </c>
      <c r="K4" s="3" t="n">
        <v>3</v>
      </c>
      <c r="L4" s="3" t="inlineStr">
        <is>
          <t>Not Started</t>
        </is>
      </c>
      <c r="M4" s="3" t="n">
        <v>0</v>
      </c>
      <c r="N4" s="3" t="inlineStr"/>
      <c r="O4" s="3" t="inlineStr">
        <is>
          <t>2026-03-31</t>
        </is>
      </c>
      <c r="P4" s="3" t="inlineStr"/>
      <c r="Q4" s="3" t="inlineStr"/>
      <c r="R4" s="4" t="inlineStr"/>
    </row>
    <row r="5">
      <c r="A5" s="3" t="inlineStr">
        <is>
          <t>APE-004</t>
        </is>
      </c>
      <c r="B5" s="3" t="inlineStr">
        <is>
          <t>Math + Retrieval Foundations</t>
        </is>
      </c>
      <c r="C5" s="3" t="inlineStr">
        <is>
          <t>Vector Mathematics</t>
        </is>
      </c>
      <c r="D5" s="4" t="inlineStr">
        <is>
          <t>Cosine vs dot vs euclidean: metric selection framework</t>
        </is>
      </c>
      <c r="E5" s="4" t="inlineStr">
        <is>
          <t>Supports your vector indexing and RAG work claims.</t>
        </is>
      </c>
      <c r="F5" s="4" t="inlineStr">
        <is>
          <t>Choose metric based on normalization, index type, and model behavior.</t>
        </is>
      </c>
      <c r="G5" s="4" t="inlineStr">
        <is>
          <t>Evaluate top-k overlap across metrics for one dataset.</t>
        </is>
      </c>
      <c r="H5" s="4" t="inlineStr">
        <is>
          <t>Decision matrix for metric selection.</t>
        </is>
      </c>
      <c r="I5" s="3" t="inlineStr">
        <is>
          <t>High</t>
        </is>
      </c>
      <c r="J5" s="3" t="inlineStr">
        <is>
          <t>Medium</t>
        </is>
      </c>
      <c r="K5" s="3" t="n">
        <v>2</v>
      </c>
      <c r="L5" s="3" t="inlineStr">
        <is>
          <t>Not Started</t>
        </is>
      </c>
      <c r="M5" s="3" t="n">
        <v>0</v>
      </c>
      <c r="N5" s="3" t="inlineStr"/>
      <c r="O5" s="3" t="inlineStr">
        <is>
          <t>2026-03-31</t>
        </is>
      </c>
      <c r="P5" s="3" t="inlineStr"/>
      <c r="Q5" s="3" t="inlineStr"/>
      <c r="R5" s="4" t="inlineStr"/>
    </row>
    <row r="6">
      <c r="A6" s="3" t="inlineStr">
        <is>
          <t>APE-005</t>
        </is>
      </c>
      <c r="B6" s="3" t="inlineStr">
        <is>
          <t>Math + Retrieval Foundations</t>
        </is>
      </c>
      <c r="C6" s="3" t="inlineStr">
        <is>
          <t>Vector Mathematics</t>
        </is>
      </c>
      <c r="D6" s="4" t="inlineStr">
        <is>
          <t>High-dimensional geometry and distance concentration</t>
        </is>
      </c>
      <c r="E6" s="4" t="inlineStr">
        <is>
          <t>Supports your vector indexing and RAG work claims.</t>
        </is>
      </c>
      <c r="F6" s="4" t="inlineStr">
        <is>
          <t>Understand why nearest-neighbor search gets harder at higher dimensions.</t>
        </is>
      </c>
      <c r="G6" s="4" t="inlineStr">
        <is>
          <t>Simulate random vectors at increasing dimensions and plot distance distributions.</t>
        </is>
      </c>
      <c r="H6" s="4" t="inlineStr">
        <is>
          <t>Notebook showing concentration effect.</t>
        </is>
      </c>
      <c r="I6" s="3" t="inlineStr">
        <is>
          <t>High</t>
        </is>
      </c>
      <c r="J6" s="3" t="inlineStr">
        <is>
          <t>Medium</t>
        </is>
      </c>
      <c r="K6" s="3" t="n">
        <v>3</v>
      </c>
      <c r="L6" s="3" t="inlineStr">
        <is>
          <t>Not Started</t>
        </is>
      </c>
      <c r="M6" s="3" t="n">
        <v>0</v>
      </c>
      <c r="N6" s="3" t="inlineStr"/>
      <c r="O6" s="3" t="inlineStr">
        <is>
          <t>2026-03-31</t>
        </is>
      </c>
      <c r="P6" s="3" t="inlineStr"/>
      <c r="Q6" s="3" t="inlineStr"/>
      <c r="R6" s="4" t="inlineStr"/>
    </row>
    <row r="7">
      <c r="A7" s="3" t="inlineStr">
        <is>
          <t>APE-006</t>
        </is>
      </c>
      <c r="B7" s="3" t="inlineStr">
        <is>
          <t>Math + Retrieval Foundations</t>
        </is>
      </c>
      <c r="C7" s="3" t="inlineStr">
        <is>
          <t>Vector Mathematics</t>
        </is>
      </c>
      <c r="D7" s="4" t="inlineStr">
        <is>
          <t>Vector normalization and anisotropy in embedding spaces</t>
        </is>
      </c>
      <c r="E7" s="4" t="inlineStr">
        <is>
          <t>Supports your vector indexing and RAG work claims.</t>
        </is>
      </c>
      <c r="F7" s="4" t="inlineStr">
        <is>
          <t>Identify embedding space quality issues and mitigation ideas.</t>
        </is>
      </c>
      <c r="G7" s="4" t="inlineStr">
        <is>
          <t>Measure norm distributions and test normalization effects on retrieval.</t>
        </is>
      </c>
      <c r="H7" s="4" t="inlineStr">
        <is>
          <t>Experiment report with before/after metrics.</t>
        </is>
      </c>
      <c r="I7" s="3" t="inlineStr">
        <is>
          <t>High</t>
        </is>
      </c>
      <c r="J7" s="3" t="inlineStr">
        <is>
          <t>Medium</t>
        </is>
      </c>
      <c r="K7" s="3" t="n">
        <v>3</v>
      </c>
      <c r="L7" s="3" t="inlineStr">
        <is>
          <t>Not Started</t>
        </is>
      </c>
      <c r="M7" s="3" t="n">
        <v>0</v>
      </c>
      <c r="N7" s="3" t="inlineStr"/>
      <c r="O7" s="3" t="inlineStr">
        <is>
          <t>2026-04-07</t>
        </is>
      </c>
      <c r="P7" s="3" t="inlineStr"/>
      <c r="Q7" s="3" t="inlineStr"/>
      <c r="R7" s="4" t="inlineStr"/>
    </row>
    <row r="8">
      <c r="A8" s="3" t="inlineStr">
        <is>
          <t>APE-007</t>
        </is>
      </c>
      <c r="B8" s="3" t="inlineStr">
        <is>
          <t>Math + Retrieval Foundations</t>
        </is>
      </c>
      <c r="C8" s="3" t="inlineStr">
        <is>
          <t>Retrieval Evaluation</t>
        </is>
      </c>
      <c r="D8" s="4" t="inlineStr">
        <is>
          <t>Precision, recall, F1 for retrieval</t>
        </is>
      </c>
      <c r="E8" s="4" t="inlineStr">
        <is>
          <t>Needed for measurable quality improvements in your RAG systems.</t>
        </is>
      </c>
      <c r="F8" s="4" t="inlineStr">
        <is>
          <t>Compute and interpret each metric for retriever outputs.</t>
        </is>
      </c>
      <c r="G8" s="4" t="inlineStr">
        <is>
          <t>Build a simple evaluator over labeled query-document pairs.</t>
        </is>
      </c>
      <c r="H8" s="4" t="inlineStr">
        <is>
          <t>Evaluator script + sample run.</t>
        </is>
      </c>
      <c r="I8" s="3" t="inlineStr">
        <is>
          <t>High</t>
        </is>
      </c>
      <c r="J8" s="3" t="inlineStr">
        <is>
          <t>Medium</t>
        </is>
      </c>
      <c r="K8" s="3" t="n">
        <v>2</v>
      </c>
      <c r="L8" s="3" t="inlineStr">
        <is>
          <t>Not Started</t>
        </is>
      </c>
      <c r="M8" s="3" t="n">
        <v>0</v>
      </c>
      <c r="N8" s="3" t="inlineStr"/>
      <c r="O8" s="3" t="inlineStr">
        <is>
          <t>2026-04-07</t>
        </is>
      </c>
      <c r="P8" s="3" t="inlineStr"/>
      <c r="Q8" s="3" t="inlineStr"/>
      <c r="R8" s="4" t="inlineStr"/>
    </row>
    <row r="9">
      <c r="A9" s="3" t="inlineStr">
        <is>
          <t>APE-008</t>
        </is>
      </c>
      <c r="B9" s="3" t="inlineStr">
        <is>
          <t>Math + Retrieval Foundations</t>
        </is>
      </c>
      <c r="C9" s="3" t="inlineStr">
        <is>
          <t>Retrieval Evaluation</t>
        </is>
      </c>
      <c r="D9" s="4" t="inlineStr">
        <is>
          <t>Recall@k, MRR, MAP, nDCG</t>
        </is>
      </c>
      <c r="E9" s="4" t="inlineStr">
        <is>
          <t>Needed for measurable quality improvements in your RAG systems.</t>
        </is>
      </c>
      <c r="F9" s="4" t="inlineStr">
        <is>
          <t>Use ranking metrics correctly for retrieval tasks.</t>
        </is>
      </c>
      <c r="G9" s="4" t="inlineStr">
        <is>
          <t>Implement all metrics and compare two retrievers.</t>
        </is>
      </c>
      <c r="H9" s="4" t="inlineStr">
        <is>
          <t>Metric dashboard CSV or notebook.</t>
        </is>
      </c>
      <c r="I9" s="3" t="inlineStr">
        <is>
          <t>High</t>
        </is>
      </c>
      <c r="J9" s="3" t="inlineStr">
        <is>
          <t>Medium</t>
        </is>
      </c>
      <c r="K9" s="3" t="n">
        <v>3</v>
      </c>
      <c r="L9" s="3" t="inlineStr">
        <is>
          <t>Not Started</t>
        </is>
      </c>
      <c r="M9" s="3" t="n">
        <v>0</v>
      </c>
      <c r="N9" s="3" t="inlineStr"/>
      <c r="O9" s="3" t="inlineStr">
        <is>
          <t>2026-04-07</t>
        </is>
      </c>
      <c r="P9" s="3" t="inlineStr"/>
      <c r="Q9" s="3" t="inlineStr"/>
      <c r="R9" s="4" t="inlineStr"/>
    </row>
    <row r="10">
      <c r="A10" s="3" t="inlineStr">
        <is>
          <t>APE-009</t>
        </is>
      </c>
      <c r="B10" s="3" t="inlineStr">
        <is>
          <t>Math + Retrieval Foundations</t>
        </is>
      </c>
      <c r="C10" s="3" t="inlineStr">
        <is>
          <t>Retrieval Evaluation</t>
        </is>
      </c>
      <c r="D10" s="4" t="inlineStr">
        <is>
          <t>Offline vs online retrieval evaluation</t>
        </is>
      </c>
      <c r="E10" s="4" t="inlineStr">
        <is>
          <t>Needed for measurable quality improvements in your RAG systems.</t>
        </is>
      </c>
      <c r="F10" s="4" t="inlineStr">
        <is>
          <t>Know limits of offline metrics and how to validate in production.</t>
        </is>
      </c>
      <c r="G10" s="4" t="inlineStr">
        <is>
          <t>Define one offline experiment and one online proxy metric plan.</t>
        </is>
      </c>
      <c r="H10" s="4" t="inlineStr">
        <is>
          <t>Evaluation plan document.</t>
        </is>
      </c>
      <c r="I10" s="3" t="inlineStr">
        <is>
          <t>High</t>
        </is>
      </c>
      <c r="J10" s="3" t="inlineStr">
        <is>
          <t>Medium</t>
        </is>
      </c>
      <c r="K10" s="3" t="n">
        <v>2</v>
      </c>
      <c r="L10" s="3" t="inlineStr">
        <is>
          <t>Not Started</t>
        </is>
      </c>
      <c r="M10" s="3" t="n">
        <v>0</v>
      </c>
      <c r="N10" s="3" t="inlineStr"/>
      <c r="O10" s="3" t="inlineStr">
        <is>
          <t>2026-04-07</t>
        </is>
      </c>
      <c r="P10" s="3" t="inlineStr"/>
      <c r="Q10" s="3" t="inlineStr"/>
      <c r="R10" s="4" t="inlineStr"/>
    </row>
    <row r="11">
      <c r="A11" s="3" t="inlineStr">
        <is>
          <t>APE-010</t>
        </is>
      </c>
      <c r="B11" s="3" t="inlineStr">
        <is>
          <t>Math + Retrieval Foundations</t>
        </is>
      </c>
      <c r="C11" s="3" t="inlineStr">
        <is>
          <t>Retrieval Evaluation</t>
        </is>
      </c>
      <c r="D11" s="4" t="inlineStr">
        <is>
          <t>Significance testing for A/B model comparisons</t>
        </is>
      </c>
      <c r="E11" s="4" t="inlineStr">
        <is>
          <t>Needed for measurable quality improvements in your RAG systems.</t>
        </is>
      </c>
      <c r="F11" s="4" t="inlineStr">
        <is>
          <t>Avoid false confidence in small metric gains.</t>
        </is>
      </c>
      <c r="G11" s="4" t="inlineStr">
        <is>
          <t>Run bootstrap confidence intervals for two retrievers.</t>
        </is>
      </c>
      <c r="H11" s="4" t="inlineStr">
        <is>
          <t>Notebook with confidence interval analysis.</t>
        </is>
      </c>
      <c r="I11" s="3" t="inlineStr">
        <is>
          <t>High</t>
        </is>
      </c>
      <c r="J11" s="3" t="inlineStr">
        <is>
          <t>Medium</t>
        </is>
      </c>
      <c r="K11" s="3" t="n">
        <v>3</v>
      </c>
      <c r="L11" s="3" t="inlineStr">
        <is>
          <t>Not Started</t>
        </is>
      </c>
      <c r="M11" s="3" t="n">
        <v>0</v>
      </c>
      <c r="N11" s="3" t="inlineStr"/>
      <c r="O11" s="3" t="inlineStr">
        <is>
          <t>2026-04-07</t>
        </is>
      </c>
      <c r="P11" s="3" t="inlineStr"/>
      <c r="Q11" s="3" t="inlineStr"/>
      <c r="R11" s="4" t="inlineStr"/>
    </row>
    <row r="12">
      <c r="A12" s="3" t="inlineStr">
        <is>
          <t>APE-011</t>
        </is>
      </c>
      <c r="B12" s="3" t="inlineStr">
        <is>
          <t>Python for AI Product Engineering</t>
        </is>
      </c>
      <c r="C12" s="3" t="inlineStr">
        <is>
          <t>Core Python Reliability</t>
        </is>
      </c>
      <c r="D12" s="4" t="inlineStr">
        <is>
          <t>Type hints, Protocol, TypedDict, and generics in AI codebases</t>
        </is>
      </c>
      <c r="E12" s="4" t="inlineStr">
        <is>
          <t>Strengthens coding depth behind your AI assistant-aided delivery.</t>
        </is>
      </c>
      <c r="F12" s="4" t="inlineStr">
        <is>
          <t>Write maintainable and safer Python interfaces for tools and models.</t>
        </is>
      </c>
      <c r="G12" s="4" t="inlineStr">
        <is>
          <t>Refactor one service module with strict typing and mypy checks.</t>
        </is>
      </c>
      <c r="H12" s="4" t="inlineStr">
        <is>
          <t>Pull request or local diff with type coverage.</t>
        </is>
      </c>
      <c r="I12" s="3" t="inlineStr">
        <is>
          <t>High</t>
        </is>
      </c>
      <c r="J12" s="3" t="inlineStr">
        <is>
          <t>Medium</t>
        </is>
      </c>
      <c r="K12" s="3" t="n">
        <v>3</v>
      </c>
      <c r="L12" s="3" t="inlineStr">
        <is>
          <t>Not Started</t>
        </is>
      </c>
      <c r="M12" s="3" t="n">
        <v>0</v>
      </c>
      <c r="N12" s="3" t="inlineStr"/>
      <c r="O12" s="3" t="inlineStr">
        <is>
          <t>2026-04-14</t>
        </is>
      </c>
      <c r="P12" s="3" t="inlineStr"/>
      <c r="Q12" s="3" t="inlineStr"/>
      <c r="R12" s="4" t="inlineStr"/>
    </row>
    <row r="13">
      <c r="A13" s="3" t="inlineStr">
        <is>
          <t>APE-012</t>
        </is>
      </c>
      <c r="B13" s="3" t="inlineStr">
        <is>
          <t>Python for AI Product Engineering</t>
        </is>
      </c>
      <c r="C13" s="3" t="inlineStr">
        <is>
          <t>Core Python Reliability</t>
        </is>
      </c>
      <c r="D13" s="4" t="inlineStr">
        <is>
          <t>Pydantic v2 for strict schema validation</t>
        </is>
      </c>
      <c r="E13" s="4" t="inlineStr">
        <is>
          <t>Strengthens coding depth behind your AI assistant-aided delivery.</t>
        </is>
      </c>
      <c r="F13" s="4" t="inlineStr">
        <is>
          <t>Validate model inputs/outputs and avoid silent data corruption.</t>
        </is>
      </c>
      <c r="G13" s="4" t="inlineStr">
        <is>
          <t>Design nested request/response schemas with validators.</t>
        </is>
      </c>
      <c r="H13" s="4" t="inlineStr">
        <is>
          <t>Schema package + unit tests.</t>
        </is>
      </c>
      <c r="I13" s="3" t="inlineStr">
        <is>
          <t>High</t>
        </is>
      </c>
      <c r="J13" s="3" t="inlineStr">
        <is>
          <t>Medium</t>
        </is>
      </c>
      <c r="K13" s="3" t="n">
        <v>3</v>
      </c>
      <c r="L13" s="3" t="inlineStr">
        <is>
          <t>Not Started</t>
        </is>
      </c>
      <c r="M13" s="3" t="n">
        <v>0</v>
      </c>
      <c r="N13" s="3" t="inlineStr"/>
      <c r="O13" s="3" t="inlineStr">
        <is>
          <t>2026-04-14</t>
        </is>
      </c>
      <c r="P13" s="3" t="inlineStr"/>
      <c r="Q13" s="3" t="inlineStr"/>
      <c r="R13" s="4" t="inlineStr"/>
    </row>
    <row r="14">
      <c r="A14" s="3" t="inlineStr">
        <is>
          <t>APE-013</t>
        </is>
      </c>
      <c r="B14" s="3" t="inlineStr">
        <is>
          <t>Python for AI Product Engineering</t>
        </is>
      </c>
      <c r="C14" s="3" t="inlineStr">
        <is>
          <t>Core Python Reliability</t>
        </is>
      </c>
      <c r="D14" s="4" t="inlineStr">
        <is>
          <t>Error handling taxonomy for AI services</t>
        </is>
      </c>
      <c r="E14" s="4" t="inlineStr">
        <is>
          <t>Strengthens coding depth behind your AI assistant-aided delivery.</t>
        </is>
      </c>
      <c r="F14" s="4" t="inlineStr">
        <is>
          <t>Separate user, model, retriever, and infra failures clearly.</t>
        </is>
      </c>
      <c r="G14" s="4" t="inlineStr">
        <is>
          <t>Create custom exception hierarchy and map to HTTP errors.</t>
        </is>
      </c>
      <c r="H14" s="4" t="inlineStr">
        <is>
          <t>Error handling guideline and code sample.</t>
        </is>
      </c>
      <c r="I14" s="3" t="inlineStr">
        <is>
          <t>High</t>
        </is>
      </c>
      <c r="J14" s="3" t="inlineStr">
        <is>
          <t>Medium</t>
        </is>
      </c>
      <c r="K14" s="3" t="n">
        <v>3</v>
      </c>
      <c r="L14" s="3" t="inlineStr">
        <is>
          <t>Not Started</t>
        </is>
      </c>
      <c r="M14" s="3" t="n">
        <v>0</v>
      </c>
      <c r="N14" s="3" t="inlineStr"/>
      <c r="O14" s="3" t="inlineStr">
        <is>
          <t>2026-04-14</t>
        </is>
      </c>
      <c r="P14" s="3" t="inlineStr"/>
      <c r="Q14" s="3" t="inlineStr"/>
      <c r="R14" s="4" t="inlineStr"/>
    </row>
    <row r="15">
      <c r="A15" s="3" t="inlineStr">
        <is>
          <t>APE-014</t>
        </is>
      </c>
      <c r="B15" s="3" t="inlineStr">
        <is>
          <t>Python for AI Product Engineering</t>
        </is>
      </c>
      <c r="C15" s="3" t="inlineStr">
        <is>
          <t>Core Python Reliability</t>
        </is>
      </c>
      <c r="D15" s="4" t="inlineStr">
        <is>
          <t>Idempotency and retry safety</t>
        </is>
      </c>
      <c r="E15" s="4" t="inlineStr">
        <is>
          <t>Strengthens coding depth behind your AI assistant-aided delivery.</t>
        </is>
      </c>
      <c r="F15" s="4" t="inlineStr">
        <is>
          <t>Prevent duplicate writes during retries in agent workflows.</t>
        </is>
      </c>
      <c r="G15" s="4" t="inlineStr">
        <is>
          <t>Implement idempotency keys for one write endpoint.</t>
        </is>
      </c>
      <c r="H15" s="4" t="inlineStr">
        <is>
          <t>Endpoint test proving duplicate suppression.</t>
        </is>
      </c>
      <c r="I15" s="3" t="inlineStr">
        <is>
          <t>High</t>
        </is>
      </c>
      <c r="J15" s="3" t="inlineStr">
        <is>
          <t>Medium</t>
        </is>
      </c>
      <c r="K15" s="3" t="n">
        <v>3</v>
      </c>
      <c r="L15" s="3" t="inlineStr">
        <is>
          <t>Not Started</t>
        </is>
      </c>
      <c r="M15" s="3" t="n">
        <v>0</v>
      </c>
      <c r="N15" s="3" t="inlineStr"/>
      <c r="O15" s="3" t="inlineStr">
        <is>
          <t>2026-04-14</t>
        </is>
      </c>
      <c r="P15" s="3" t="inlineStr"/>
      <c r="Q15" s="3" t="inlineStr"/>
      <c r="R15" s="4" t="inlineStr"/>
    </row>
    <row r="16">
      <c r="A16" s="3" t="inlineStr">
        <is>
          <t>APE-015</t>
        </is>
      </c>
      <c r="B16" s="3" t="inlineStr">
        <is>
          <t>Python for AI Product Engineering</t>
        </is>
      </c>
      <c r="C16" s="3" t="inlineStr">
        <is>
          <t>Core Python Reliability</t>
        </is>
      </c>
      <c r="D16" s="4" t="inlineStr">
        <is>
          <t>Testing strategy: unit, integration, contract</t>
        </is>
      </c>
      <c r="E16" s="4" t="inlineStr">
        <is>
          <t>Strengthens coding depth behind your AI assistant-aided delivery.</t>
        </is>
      </c>
      <c r="F16" s="4" t="inlineStr">
        <is>
          <t>Choose correct test depth for AI and API layers.</t>
        </is>
      </c>
      <c r="G16" s="4" t="inlineStr">
        <is>
          <t>Write tests for parser, retriever, and endpoint contracts.</t>
        </is>
      </c>
      <c r="H16" s="4" t="inlineStr">
        <is>
          <t>Test suite with coverage summary.</t>
        </is>
      </c>
      <c r="I16" s="3" t="inlineStr">
        <is>
          <t>High</t>
        </is>
      </c>
      <c r="J16" s="3" t="inlineStr">
        <is>
          <t>Medium</t>
        </is>
      </c>
      <c r="K16" s="3" t="n">
        <v>4</v>
      </c>
      <c r="L16" s="3" t="inlineStr">
        <is>
          <t>Not Started</t>
        </is>
      </c>
      <c r="M16" s="3" t="n">
        <v>0</v>
      </c>
      <c r="N16" s="3" t="inlineStr"/>
      <c r="O16" s="3" t="inlineStr">
        <is>
          <t>2026-04-14</t>
        </is>
      </c>
      <c r="P16" s="3" t="inlineStr"/>
      <c r="Q16" s="3" t="inlineStr"/>
      <c r="R16" s="4" t="inlineStr"/>
    </row>
    <row r="17">
      <c r="A17" s="3" t="inlineStr">
        <is>
          <t>APE-016</t>
        </is>
      </c>
      <c r="B17" s="3" t="inlineStr">
        <is>
          <t>Python for AI Product Engineering</t>
        </is>
      </c>
      <c r="C17" s="3" t="inlineStr">
        <is>
          <t>Core Python Reliability</t>
        </is>
      </c>
      <c r="D17" s="4" t="inlineStr">
        <is>
          <t>Structured logging and correlation IDs</t>
        </is>
      </c>
      <c r="E17" s="4" t="inlineStr">
        <is>
          <t>Strengthens coding depth behind your AI assistant-aided delivery.</t>
        </is>
      </c>
      <c r="F17" s="4" t="inlineStr">
        <is>
          <t>Trace a single user request across LLM + DB + API layers.</t>
        </is>
      </c>
      <c r="G17" s="4" t="inlineStr">
        <is>
          <t>Add request_id propagation across one service path.</t>
        </is>
      </c>
      <c r="H17" s="4" t="inlineStr">
        <is>
          <t>Log sample with end-to-end traceability.</t>
        </is>
      </c>
      <c r="I17" s="3" t="inlineStr">
        <is>
          <t>High</t>
        </is>
      </c>
      <c r="J17" s="3" t="inlineStr">
        <is>
          <t>Medium</t>
        </is>
      </c>
      <c r="K17" s="3" t="n">
        <v>3</v>
      </c>
      <c r="L17" s="3" t="inlineStr">
        <is>
          <t>Not Started</t>
        </is>
      </c>
      <c r="M17" s="3" t="n">
        <v>0</v>
      </c>
      <c r="N17" s="3" t="inlineStr"/>
      <c r="O17" s="3" t="inlineStr">
        <is>
          <t>2026-04-21</t>
        </is>
      </c>
      <c r="P17" s="3" t="inlineStr"/>
      <c r="Q17" s="3" t="inlineStr"/>
      <c r="R17" s="4" t="inlineStr"/>
    </row>
    <row r="18">
      <c r="A18" s="3" t="inlineStr">
        <is>
          <t>APE-017</t>
        </is>
      </c>
      <c r="B18" s="3" t="inlineStr">
        <is>
          <t>Python for AI Product Engineering</t>
        </is>
      </c>
      <c r="C18" s="3" t="inlineStr">
        <is>
          <t>Async + Concurrency</t>
        </is>
      </c>
      <c r="D18" s="4" t="inlineStr">
        <is>
          <t>AsyncIO internals: event loop, tasks, cancellation</t>
        </is>
      </c>
      <c r="E18" s="4" t="inlineStr">
        <is>
          <t>Critical for scalable FastAPI and multi-step AI pipelines.</t>
        </is>
      </c>
      <c r="F18" s="4" t="inlineStr">
        <is>
          <t>Reason about concurrent calls and cancellation propagation.</t>
        </is>
      </c>
      <c r="G18" s="4" t="inlineStr">
        <is>
          <t>Implement cancellable async pipeline with timeout controls.</t>
        </is>
      </c>
      <c r="H18" s="4" t="inlineStr">
        <is>
          <t>Demo script showing graceful cancellation.</t>
        </is>
      </c>
      <c r="I18" s="3" t="inlineStr">
        <is>
          <t>High</t>
        </is>
      </c>
      <c r="J18" s="3" t="inlineStr">
        <is>
          <t>Hard</t>
        </is>
      </c>
      <c r="K18" s="3" t="n">
        <v>4</v>
      </c>
      <c r="L18" s="3" t="inlineStr">
        <is>
          <t>Not Started</t>
        </is>
      </c>
      <c r="M18" s="3" t="n">
        <v>0</v>
      </c>
      <c r="N18" s="3" t="inlineStr"/>
      <c r="O18" s="3" t="inlineStr">
        <is>
          <t>2026-04-21</t>
        </is>
      </c>
      <c r="P18" s="3" t="inlineStr"/>
      <c r="Q18" s="3" t="inlineStr"/>
      <c r="R18" s="4" t="inlineStr"/>
    </row>
    <row r="19">
      <c r="A19" s="3" t="inlineStr">
        <is>
          <t>APE-018</t>
        </is>
      </c>
      <c r="B19" s="3" t="inlineStr">
        <is>
          <t>Python for AI Product Engineering</t>
        </is>
      </c>
      <c r="C19" s="3" t="inlineStr">
        <is>
          <t>Async + Concurrency</t>
        </is>
      </c>
      <c r="D19" s="4" t="inlineStr">
        <is>
          <t>Bounded concurrency and backpressure</t>
        </is>
      </c>
      <c r="E19" s="4" t="inlineStr">
        <is>
          <t>Critical for scalable FastAPI and multi-step AI pipelines.</t>
        </is>
      </c>
      <c r="F19" s="4" t="inlineStr">
        <is>
          <t>Avoid overload when many requests invoke model calls.</t>
        </is>
      </c>
      <c r="G19" s="4" t="inlineStr">
        <is>
          <t>Apply semaphores or worker pools for LLM invocations.</t>
        </is>
      </c>
      <c r="H19" s="4" t="inlineStr">
        <is>
          <t>Load test showing stable latency under pressure.</t>
        </is>
      </c>
      <c r="I19" s="3" t="inlineStr">
        <is>
          <t>High</t>
        </is>
      </c>
      <c r="J19" s="3" t="inlineStr">
        <is>
          <t>Hard</t>
        </is>
      </c>
      <c r="K19" s="3" t="n">
        <v>4</v>
      </c>
      <c r="L19" s="3" t="inlineStr">
        <is>
          <t>Not Started</t>
        </is>
      </c>
      <c r="M19" s="3" t="n">
        <v>0</v>
      </c>
      <c r="N19" s="3" t="inlineStr"/>
      <c r="O19" s="3" t="inlineStr">
        <is>
          <t>2026-04-21</t>
        </is>
      </c>
      <c r="P19" s="3" t="inlineStr"/>
      <c r="Q19" s="3" t="inlineStr"/>
      <c r="R19" s="4" t="inlineStr"/>
    </row>
    <row r="20">
      <c r="A20" s="3" t="inlineStr">
        <is>
          <t>APE-019</t>
        </is>
      </c>
      <c r="B20" s="3" t="inlineStr">
        <is>
          <t>Python for AI Product Engineering</t>
        </is>
      </c>
      <c r="C20" s="3" t="inlineStr">
        <is>
          <t>Async + Concurrency</t>
        </is>
      </c>
      <c r="D20" s="4" t="inlineStr">
        <is>
          <t>Queue-based job execution for long tasks</t>
        </is>
      </c>
      <c r="E20" s="4" t="inlineStr">
        <is>
          <t>Critical for scalable FastAPI and multi-step AI pipelines.</t>
        </is>
      </c>
      <c r="F20" s="4" t="inlineStr">
        <is>
          <t>Move heavy ingestion and reindex jobs off request path.</t>
        </is>
      </c>
      <c r="G20" s="4" t="inlineStr">
        <is>
          <t>Build one async job worker for document ingestion.</t>
        </is>
      </c>
      <c r="H20" s="4" t="inlineStr">
        <is>
          <t>Working queue pipeline with status API.</t>
        </is>
      </c>
      <c r="I20" s="3" t="inlineStr">
        <is>
          <t>High</t>
        </is>
      </c>
      <c r="J20" s="3" t="inlineStr">
        <is>
          <t>Hard</t>
        </is>
      </c>
      <c r="K20" s="3" t="n">
        <v>4</v>
      </c>
      <c r="L20" s="3" t="inlineStr">
        <is>
          <t>Not Started</t>
        </is>
      </c>
      <c r="M20" s="3" t="n">
        <v>0</v>
      </c>
      <c r="N20" s="3" t="inlineStr"/>
      <c r="O20" s="3" t="inlineStr">
        <is>
          <t>2026-04-21</t>
        </is>
      </c>
      <c r="P20" s="3" t="inlineStr"/>
      <c r="Q20" s="3" t="inlineStr"/>
      <c r="R20" s="4" t="inlineStr"/>
    </row>
    <row r="21">
      <c r="A21" s="3" t="inlineStr">
        <is>
          <t>APE-020</t>
        </is>
      </c>
      <c r="B21" s="3" t="inlineStr">
        <is>
          <t>Python for AI Product Engineering</t>
        </is>
      </c>
      <c r="C21" s="3" t="inlineStr">
        <is>
          <t>Async + Concurrency</t>
        </is>
      </c>
      <c r="D21" s="4" t="inlineStr">
        <is>
          <t>Circuit breakers, retries, and timeout budgets</t>
        </is>
      </c>
      <c r="E21" s="4" t="inlineStr">
        <is>
          <t>Critical for scalable FastAPI and multi-step AI pipelines.</t>
        </is>
      </c>
      <c r="F21" s="4" t="inlineStr">
        <is>
          <t>Protect system from cascading failures.</t>
        </is>
      </c>
      <c r="G21" s="4" t="inlineStr">
        <is>
          <t>Add retry strategy with jitter and service-specific limits.</t>
        </is>
      </c>
      <c r="H21" s="4" t="inlineStr">
        <is>
          <t>Resilience playbook and failure simulation logs.</t>
        </is>
      </c>
      <c r="I21" s="3" t="inlineStr">
        <is>
          <t>High</t>
        </is>
      </c>
      <c r="J21" s="3" t="inlineStr">
        <is>
          <t>Hard</t>
        </is>
      </c>
      <c r="K21" s="3" t="n">
        <v>4</v>
      </c>
      <c r="L21" s="3" t="inlineStr">
        <is>
          <t>Not Started</t>
        </is>
      </c>
      <c r="M21" s="3" t="n">
        <v>0</v>
      </c>
      <c r="N21" s="3" t="inlineStr"/>
      <c r="O21" s="3" t="inlineStr">
        <is>
          <t>2026-04-21</t>
        </is>
      </c>
      <c r="P21" s="3" t="inlineStr"/>
      <c r="Q21" s="3" t="inlineStr"/>
      <c r="R21" s="4" t="inlineStr"/>
    </row>
    <row r="22">
      <c r="A22" s="3" t="inlineStr">
        <is>
          <t>APE-021</t>
        </is>
      </c>
      <c r="B22" s="3" t="inlineStr">
        <is>
          <t>LLM Fundamentals</t>
        </is>
      </c>
      <c r="C22" s="3" t="inlineStr">
        <is>
          <t>Model Internals</t>
        </is>
      </c>
      <c r="D22" s="4" t="inlineStr">
        <is>
          <t>Tokenization (BPE/SentencePiece) and token budgeting</t>
        </is>
      </c>
      <c r="E22" s="4" t="inlineStr">
        <is>
          <t>Improves model selection and debugging decisions.</t>
        </is>
      </c>
      <c r="F22" s="4" t="inlineStr">
        <is>
          <t>Understand token count effects on cost, truncation, and quality.</t>
        </is>
      </c>
      <c r="G22" s="4" t="inlineStr">
        <is>
          <t>Compare tokenization of same text across two model families.</t>
        </is>
      </c>
      <c r="H22" s="4" t="inlineStr">
        <is>
          <t>Token analysis notebook.</t>
        </is>
      </c>
      <c r="I22" s="3" t="inlineStr">
        <is>
          <t>High</t>
        </is>
      </c>
      <c r="J22" s="3" t="inlineStr">
        <is>
          <t>Hard</t>
        </is>
      </c>
      <c r="K22" s="3" t="n">
        <v>3</v>
      </c>
      <c r="L22" s="3" t="inlineStr">
        <is>
          <t>Not Started</t>
        </is>
      </c>
      <c r="M22" s="3" t="n">
        <v>0</v>
      </c>
      <c r="N22" s="3" t="inlineStr"/>
      <c r="O22" s="3" t="inlineStr">
        <is>
          <t>2026-04-28</t>
        </is>
      </c>
      <c r="P22" s="3" t="inlineStr"/>
      <c r="Q22" s="3" t="inlineStr"/>
      <c r="R22" s="4" t="inlineStr"/>
    </row>
    <row r="23">
      <c r="A23" s="3" t="inlineStr">
        <is>
          <t>APE-022</t>
        </is>
      </c>
      <c r="B23" s="3" t="inlineStr">
        <is>
          <t>LLM Fundamentals</t>
        </is>
      </c>
      <c r="C23" s="3" t="inlineStr">
        <is>
          <t>Model Internals</t>
        </is>
      </c>
      <c r="D23" s="4" t="inlineStr">
        <is>
          <t>Transformer block anatomy (attention + MLP + residuals)</t>
        </is>
      </c>
      <c r="E23" s="4" t="inlineStr">
        <is>
          <t>Improves model selection and debugging decisions.</t>
        </is>
      </c>
      <c r="F23" s="4" t="inlineStr">
        <is>
          <t>Build conceptual model for generation behavior and limits.</t>
        </is>
      </c>
      <c r="G23" s="4" t="inlineStr">
        <is>
          <t>Explain one generated response using attention-level intuition.</t>
        </is>
      </c>
      <c r="H23" s="4" t="inlineStr">
        <is>
          <t>Technical note in your own words.</t>
        </is>
      </c>
      <c r="I23" s="3" t="inlineStr">
        <is>
          <t>High</t>
        </is>
      </c>
      <c r="J23" s="3" t="inlineStr">
        <is>
          <t>Hard</t>
        </is>
      </c>
      <c r="K23" s="3" t="n">
        <v>3</v>
      </c>
      <c r="L23" s="3" t="inlineStr">
        <is>
          <t>Not Started</t>
        </is>
      </c>
      <c r="M23" s="3" t="n">
        <v>0</v>
      </c>
      <c r="N23" s="3" t="inlineStr"/>
      <c r="O23" s="3" t="inlineStr">
        <is>
          <t>2026-04-28</t>
        </is>
      </c>
      <c r="P23" s="3" t="inlineStr"/>
      <c r="Q23" s="3" t="inlineStr"/>
      <c r="R23" s="4" t="inlineStr"/>
    </row>
    <row r="24">
      <c r="A24" s="3" t="inlineStr">
        <is>
          <t>APE-023</t>
        </is>
      </c>
      <c r="B24" s="3" t="inlineStr">
        <is>
          <t>LLM Fundamentals</t>
        </is>
      </c>
      <c r="C24" s="3" t="inlineStr">
        <is>
          <t>Model Internals</t>
        </is>
      </c>
      <c r="D24" s="4" t="inlineStr">
        <is>
          <t>Context window behavior and lost-in-the-middle</t>
        </is>
      </c>
      <c r="E24" s="4" t="inlineStr">
        <is>
          <t>Improves model selection and debugging decisions.</t>
        </is>
      </c>
      <c r="F24" s="4" t="inlineStr">
        <is>
          <t>Design prompts and context packing to reduce information loss.</t>
        </is>
      </c>
      <c r="G24" s="4" t="inlineStr">
        <is>
          <t>Run context ordering experiments and compare answer quality.</t>
        </is>
      </c>
      <c r="H24" s="4" t="inlineStr">
        <is>
          <t>Experiment log with recommendations.</t>
        </is>
      </c>
      <c r="I24" s="3" t="inlineStr">
        <is>
          <t>High</t>
        </is>
      </c>
      <c r="J24" s="3" t="inlineStr">
        <is>
          <t>Hard</t>
        </is>
      </c>
      <c r="K24" s="3" t="n">
        <v>3</v>
      </c>
      <c r="L24" s="3" t="inlineStr">
        <is>
          <t>Not Started</t>
        </is>
      </c>
      <c r="M24" s="3" t="n">
        <v>0</v>
      </c>
      <c r="N24" s="3" t="inlineStr"/>
      <c r="O24" s="3" t="inlineStr">
        <is>
          <t>2026-04-28</t>
        </is>
      </c>
      <c r="P24" s="3" t="inlineStr"/>
      <c r="Q24" s="3" t="inlineStr"/>
      <c r="R24" s="4" t="inlineStr"/>
    </row>
    <row r="25">
      <c r="A25" s="3" t="inlineStr">
        <is>
          <t>APE-024</t>
        </is>
      </c>
      <c r="B25" s="3" t="inlineStr">
        <is>
          <t>LLM Fundamentals</t>
        </is>
      </c>
      <c r="C25" s="3" t="inlineStr">
        <is>
          <t>Model Internals</t>
        </is>
      </c>
      <c r="D25" s="4" t="inlineStr">
        <is>
          <t>Decoding controls: temperature, top-p, top-k, penalties</t>
        </is>
      </c>
      <c r="E25" s="4" t="inlineStr">
        <is>
          <t>Improves model selection and debugging decisions.</t>
        </is>
      </c>
      <c r="F25" s="4" t="inlineStr">
        <is>
          <t>Tune generation for extraction, reasoning, and creativity separately.</t>
        </is>
      </c>
      <c r="G25" s="4" t="inlineStr">
        <is>
          <t>Build small sweep comparing decoding configs per task.</t>
        </is>
      </c>
      <c r="H25" s="4" t="inlineStr">
        <is>
          <t>Config guide + quality metrics.</t>
        </is>
      </c>
      <c r="I25" s="3" t="inlineStr">
        <is>
          <t>High</t>
        </is>
      </c>
      <c r="J25" s="3" t="inlineStr">
        <is>
          <t>Hard</t>
        </is>
      </c>
      <c r="K25" s="3" t="n">
        <v>3</v>
      </c>
      <c r="L25" s="3" t="inlineStr">
        <is>
          <t>Not Started</t>
        </is>
      </c>
      <c r="M25" s="3" t="n">
        <v>0</v>
      </c>
      <c r="N25" s="3" t="inlineStr"/>
      <c r="O25" s="3" t="inlineStr">
        <is>
          <t>2026-04-28</t>
        </is>
      </c>
      <c r="P25" s="3" t="inlineStr"/>
      <c r="Q25" s="3" t="inlineStr"/>
      <c r="R25" s="4" t="inlineStr"/>
    </row>
    <row r="26">
      <c r="A26" s="3" t="inlineStr">
        <is>
          <t>APE-025</t>
        </is>
      </c>
      <c r="B26" s="3" t="inlineStr">
        <is>
          <t>LLM Fundamentals</t>
        </is>
      </c>
      <c r="C26" s="3" t="inlineStr">
        <is>
          <t>Model Internals</t>
        </is>
      </c>
      <c r="D26" s="4" t="inlineStr">
        <is>
          <t>Hallucination root causes and mitigation levers</t>
        </is>
      </c>
      <c r="E26" s="4" t="inlineStr">
        <is>
          <t>Improves model selection and debugging decisions.</t>
        </is>
      </c>
      <c r="F26" s="4" t="inlineStr">
        <is>
          <t>Map failure causes to mitigation at prompt, retrieval, and policy layers.</t>
        </is>
      </c>
      <c r="G26" s="4" t="inlineStr">
        <is>
          <t>Tag 30 failures and classify root causes.</t>
        </is>
      </c>
      <c r="H26" s="4" t="inlineStr">
        <is>
          <t>Failure taxonomy report.</t>
        </is>
      </c>
      <c r="I26" s="3" t="inlineStr">
        <is>
          <t>High</t>
        </is>
      </c>
      <c r="J26" s="3" t="inlineStr">
        <is>
          <t>Hard</t>
        </is>
      </c>
      <c r="K26" s="3" t="n">
        <v>4</v>
      </c>
      <c r="L26" s="3" t="inlineStr">
        <is>
          <t>Not Started</t>
        </is>
      </c>
      <c r="M26" s="3" t="n">
        <v>0</v>
      </c>
      <c r="N26" s="3" t="inlineStr"/>
      <c r="O26" s="3" t="inlineStr">
        <is>
          <t>2026-04-28</t>
        </is>
      </c>
      <c r="P26" s="3" t="inlineStr"/>
      <c r="Q26" s="3" t="inlineStr"/>
      <c r="R26" s="4" t="inlineStr"/>
    </row>
    <row r="27">
      <c r="A27" s="3" t="inlineStr">
        <is>
          <t>APE-026</t>
        </is>
      </c>
      <c r="B27" s="3" t="inlineStr">
        <is>
          <t>LLM Fundamentals</t>
        </is>
      </c>
      <c r="C27" s="3" t="inlineStr">
        <is>
          <t>Model Internals</t>
        </is>
      </c>
      <c r="D27" s="4" t="inlineStr">
        <is>
          <t>When to use prompting vs fine-tuning vs RAG</t>
        </is>
      </c>
      <c r="E27" s="4" t="inlineStr">
        <is>
          <t>Improves model selection and debugging decisions.</t>
        </is>
      </c>
      <c r="F27" s="4" t="inlineStr">
        <is>
          <t>Make architecture choices with cost-risk-quality trade-offs.</t>
        </is>
      </c>
      <c r="G27" s="4" t="inlineStr">
        <is>
          <t>Create decision matrix for 5 common enterprise use cases.</t>
        </is>
      </c>
      <c r="H27" s="4" t="inlineStr">
        <is>
          <t>Architecture decision record.</t>
        </is>
      </c>
      <c r="I27" s="3" t="inlineStr">
        <is>
          <t>High</t>
        </is>
      </c>
      <c r="J27" s="3" t="inlineStr">
        <is>
          <t>Hard</t>
        </is>
      </c>
      <c r="K27" s="3" t="n">
        <v>3</v>
      </c>
      <c r="L27" s="3" t="inlineStr">
        <is>
          <t>Not Started</t>
        </is>
      </c>
      <c r="M27" s="3" t="n">
        <v>0</v>
      </c>
      <c r="N27" s="3" t="inlineStr"/>
      <c r="O27" s="3" t="inlineStr">
        <is>
          <t>2026-05-05</t>
        </is>
      </c>
      <c r="P27" s="3" t="inlineStr"/>
      <c r="Q27" s="3" t="inlineStr"/>
      <c r="R27" s="4" t="inlineStr"/>
    </row>
    <row r="28">
      <c r="A28" s="3" t="inlineStr">
        <is>
          <t>APE-027</t>
        </is>
      </c>
      <c r="B28" s="3" t="inlineStr">
        <is>
          <t>Prompting + Structured Outputs</t>
        </is>
      </c>
      <c r="C28" s="3" t="inlineStr">
        <is>
          <t>Prompt Design</t>
        </is>
      </c>
      <c r="D28" s="4" t="inlineStr">
        <is>
          <t>Prompt anatomy: role, task, constraints, context, examples</t>
        </is>
      </c>
      <c r="E28" s="4" t="inlineStr">
        <is>
          <t>Matches your structured extraction and automation projects.</t>
        </is>
      </c>
      <c r="F28" s="4" t="inlineStr">
        <is>
          <t>Write prompts that are deterministic and testable.</t>
        </is>
      </c>
      <c r="G28" s="4" t="inlineStr">
        <is>
          <t>Refactor one production prompt into explicit sections.</t>
        </is>
      </c>
      <c r="H28" s="4" t="inlineStr">
        <is>
          <t>Before/after prompt quality comparison.</t>
        </is>
      </c>
      <c r="I28" s="3" t="inlineStr">
        <is>
          <t>High</t>
        </is>
      </c>
      <c r="J28" s="3" t="inlineStr">
        <is>
          <t>Medium</t>
        </is>
      </c>
      <c r="K28" s="3" t="n">
        <v>2</v>
      </c>
      <c r="L28" s="3" t="inlineStr">
        <is>
          <t>Not Started</t>
        </is>
      </c>
      <c r="M28" s="3" t="n">
        <v>0</v>
      </c>
      <c r="N28" s="3" t="inlineStr"/>
      <c r="O28" s="3" t="inlineStr">
        <is>
          <t>2026-05-05</t>
        </is>
      </c>
      <c r="P28" s="3" t="inlineStr"/>
      <c r="Q28" s="3" t="inlineStr"/>
      <c r="R28" s="4" t="inlineStr"/>
    </row>
    <row r="29">
      <c r="A29" s="3" t="inlineStr">
        <is>
          <t>APE-028</t>
        </is>
      </c>
      <c r="B29" s="3" t="inlineStr">
        <is>
          <t>Prompting + Structured Outputs</t>
        </is>
      </c>
      <c r="C29" s="3" t="inlineStr">
        <is>
          <t>Prompt Design</t>
        </is>
      </c>
      <c r="D29" s="4" t="inlineStr">
        <is>
          <t>Few-shot example selection and anti-patterns</t>
        </is>
      </c>
      <c r="E29" s="4" t="inlineStr">
        <is>
          <t>Matches your structured extraction and automation projects.</t>
        </is>
      </c>
      <c r="F29" s="4" t="inlineStr">
        <is>
          <t>Choose representative examples without leaking bias.</t>
        </is>
      </c>
      <c r="G29" s="4" t="inlineStr">
        <is>
          <t>Build and evaluate three-shot sets for one extraction task.</t>
        </is>
      </c>
      <c r="H29" s="4" t="inlineStr">
        <is>
          <t>Shot selection rationale note.</t>
        </is>
      </c>
      <c r="I29" s="3" t="inlineStr">
        <is>
          <t>High</t>
        </is>
      </c>
      <c r="J29" s="3" t="inlineStr">
        <is>
          <t>Medium</t>
        </is>
      </c>
      <c r="K29" s="3" t="n">
        <v>3</v>
      </c>
      <c r="L29" s="3" t="inlineStr">
        <is>
          <t>Not Started</t>
        </is>
      </c>
      <c r="M29" s="3" t="n">
        <v>0</v>
      </c>
      <c r="N29" s="3" t="inlineStr"/>
      <c r="O29" s="3" t="inlineStr">
        <is>
          <t>2026-05-05</t>
        </is>
      </c>
      <c r="P29" s="3" t="inlineStr"/>
      <c r="Q29" s="3" t="inlineStr"/>
      <c r="R29" s="4" t="inlineStr"/>
    </row>
    <row r="30">
      <c r="A30" s="3" t="inlineStr">
        <is>
          <t>APE-029</t>
        </is>
      </c>
      <c r="B30" s="3" t="inlineStr">
        <is>
          <t>Prompting + Structured Outputs</t>
        </is>
      </c>
      <c r="C30" s="3" t="inlineStr">
        <is>
          <t>Prompt Design</t>
        </is>
      </c>
      <c r="D30" s="4" t="inlineStr">
        <is>
          <t>Prompt templates and version control</t>
        </is>
      </c>
      <c r="E30" s="4" t="inlineStr">
        <is>
          <t>Matches your structured extraction and automation projects.</t>
        </is>
      </c>
      <c r="F30" s="4" t="inlineStr">
        <is>
          <t>Track prompt changes like code with rollback support.</t>
        </is>
      </c>
      <c r="G30" s="4" t="inlineStr">
        <is>
          <t>Set semantic versioning for prompt templates.</t>
        </is>
      </c>
      <c r="H30" s="4" t="inlineStr">
        <is>
          <t>Prompt changelog with evaluation deltas.</t>
        </is>
      </c>
      <c r="I30" s="3" t="inlineStr">
        <is>
          <t>High</t>
        </is>
      </c>
      <c r="J30" s="3" t="inlineStr">
        <is>
          <t>Medium</t>
        </is>
      </c>
      <c r="K30" s="3" t="n">
        <v>2</v>
      </c>
      <c r="L30" s="3" t="inlineStr">
        <is>
          <t>Not Started</t>
        </is>
      </c>
      <c r="M30" s="3" t="n">
        <v>0</v>
      </c>
      <c r="N30" s="3" t="inlineStr"/>
      <c r="O30" s="3" t="inlineStr">
        <is>
          <t>2026-05-05</t>
        </is>
      </c>
      <c r="P30" s="3" t="inlineStr"/>
      <c r="Q30" s="3" t="inlineStr"/>
      <c r="R30" s="4" t="inlineStr"/>
    </row>
    <row r="31">
      <c r="A31" s="3" t="inlineStr">
        <is>
          <t>APE-030</t>
        </is>
      </c>
      <c r="B31" s="3" t="inlineStr">
        <is>
          <t>Prompting + Structured Outputs</t>
        </is>
      </c>
      <c r="C31" s="3" t="inlineStr">
        <is>
          <t>Prompt Design</t>
        </is>
      </c>
      <c r="D31" s="4" t="inlineStr">
        <is>
          <t>Guarded prompting against injection and role confusion</t>
        </is>
      </c>
      <c r="E31" s="4" t="inlineStr">
        <is>
          <t>Matches your structured extraction and automation projects.</t>
        </is>
      </c>
      <c r="F31" s="4" t="inlineStr">
        <is>
          <t>Harden prompt layer before model call.</t>
        </is>
      </c>
      <c r="G31" s="4" t="inlineStr">
        <is>
          <t>Add instruction hierarchy and delimiter strategy.</t>
        </is>
      </c>
      <c r="H31" s="4" t="inlineStr">
        <is>
          <t>Prompt security checklist applied to one flow.</t>
        </is>
      </c>
      <c r="I31" s="3" t="inlineStr">
        <is>
          <t>High</t>
        </is>
      </c>
      <c r="J31" s="3" t="inlineStr">
        <is>
          <t>Medium</t>
        </is>
      </c>
      <c r="K31" s="3" t="n">
        <v>3</v>
      </c>
      <c r="L31" s="3" t="inlineStr">
        <is>
          <t>Not Started</t>
        </is>
      </c>
      <c r="M31" s="3" t="n">
        <v>0</v>
      </c>
      <c r="N31" s="3" t="inlineStr"/>
      <c r="O31" s="3" t="inlineStr">
        <is>
          <t>2026-05-05</t>
        </is>
      </c>
      <c r="P31" s="3" t="inlineStr"/>
      <c r="Q31" s="3" t="inlineStr"/>
      <c r="R31" s="4" t="inlineStr"/>
    </row>
    <row r="32">
      <c r="A32" s="3" t="inlineStr">
        <is>
          <t>APE-031</t>
        </is>
      </c>
      <c r="B32" s="3" t="inlineStr">
        <is>
          <t>Prompting + Structured Outputs</t>
        </is>
      </c>
      <c r="C32" s="3" t="inlineStr">
        <is>
          <t>Schema-First Generation</t>
        </is>
      </c>
      <c r="D32" s="4" t="inlineStr">
        <is>
          <t>JSON Schema constrained generation</t>
        </is>
      </c>
      <c r="E32" s="4" t="inlineStr">
        <is>
          <t>Directly relevant to your structured output parsing experience.</t>
        </is>
      </c>
      <c r="F32" s="4" t="inlineStr">
        <is>
          <t>Force valid machine-readable outputs using schemas.</t>
        </is>
      </c>
      <c r="G32" s="4" t="inlineStr">
        <is>
          <t>Define strict schema for email intent extraction.</t>
        </is>
      </c>
      <c r="H32" s="4" t="inlineStr">
        <is>
          <t>Schema + parser + success rate report.</t>
        </is>
      </c>
      <c r="I32" s="3" t="inlineStr">
        <is>
          <t>High</t>
        </is>
      </c>
      <c r="J32" s="3" t="inlineStr">
        <is>
          <t>Medium</t>
        </is>
      </c>
      <c r="K32" s="3" t="n">
        <v>3</v>
      </c>
      <c r="L32" s="3" t="inlineStr">
        <is>
          <t>Not Started</t>
        </is>
      </c>
      <c r="M32" s="3" t="n">
        <v>0</v>
      </c>
      <c r="N32" s="3" t="inlineStr"/>
      <c r="O32" s="3" t="inlineStr">
        <is>
          <t>2026-05-12</t>
        </is>
      </c>
      <c r="P32" s="3" t="inlineStr"/>
      <c r="Q32" s="3" t="inlineStr"/>
      <c r="R32" s="4" t="inlineStr"/>
    </row>
    <row r="33">
      <c r="A33" s="3" t="inlineStr">
        <is>
          <t>APE-032</t>
        </is>
      </c>
      <c r="B33" s="3" t="inlineStr">
        <is>
          <t>Prompting + Structured Outputs</t>
        </is>
      </c>
      <c r="C33" s="3" t="inlineStr">
        <is>
          <t>Schema-First Generation</t>
        </is>
      </c>
      <c r="D33" s="4" t="inlineStr">
        <is>
          <t>Tool calling protocols and function contract design</t>
        </is>
      </c>
      <c r="E33" s="4" t="inlineStr">
        <is>
          <t>Directly relevant to your structured output parsing experience.</t>
        </is>
      </c>
      <c r="F33" s="4" t="inlineStr">
        <is>
          <t>Design robust tool interfaces with validation and retries.</t>
        </is>
      </c>
      <c r="G33" s="4" t="inlineStr">
        <is>
          <t>Create tool contract for calendar scheduling agent.</t>
        </is>
      </c>
      <c r="H33" s="4" t="inlineStr">
        <is>
          <t>Tool contract spec and tests.</t>
        </is>
      </c>
      <c r="I33" s="3" t="inlineStr">
        <is>
          <t>High</t>
        </is>
      </c>
      <c r="J33" s="3" t="inlineStr">
        <is>
          <t>Medium</t>
        </is>
      </c>
      <c r="K33" s="3" t="n">
        <v>3</v>
      </c>
      <c r="L33" s="3" t="inlineStr">
        <is>
          <t>Not Started</t>
        </is>
      </c>
      <c r="M33" s="3" t="n">
        <v>0</v>
      </c>
      <c r="N33" s="3" t="inlineStr"/>
      <c r="O33" s="3" t="inlineStr">
        <is>
          <t>2026-05-12</t>
        </is>
      </c>
      <c r="P33" s="3" t="inlineStr"/>
      <c r="Q33" s="3" t="inlineStr"/>
      <c r="R33" s="4" t="inlineStr"/>
    </row>
    <row r="34">
      <c r="A34" s="3" t="inlineStr">
        <is>
          <t>APE-033</t>
        </is>
      </c>
      <c r="B34" s="3" t="inlineStr">
        <is>
          <t>Prompting + Structured Outputs</t>
        </is>
      </c>
      <c r="C34" s="3" t="inlineStr">
        <is>
          <t>Schema-First Generation</t>
        </is>
      </c>
      <c r="D34" s="4" t="inlineStr">
        <is>
          <t>Repair loops: validate -&gt; retry -&gt; fallback</t>
        </is>
      </c>
      <c r="E34" s="4" t="inlineStr">
        <is>
          <t>Directly relevant to your structured output parsing experience.</t>
        </is>
      </c>
      <c r="F34" s="4" t="inlineStr">
        <is>
          <t>Recover gracefully from malformed outputs.</t>
        </is>
      </c>
      <c r="G34" s="4" t="inlineStr">
        <is>
          <t>Implement multi-step repair pipeline with capped retries.</t>
        </is>
      </c>
      <c r="H34" s="4" t="inlineStr">
        <is>
          <t>Error budget and retry outcomes.</t>
        </is>
      </c>
      <c r="I34" s="3" t="inlineStr">
        <is>
          <t>High</t>
        </is>
      </c>
      <c r="J34" s="3" t="inlineStr">
        <is>
          <t>Medium</t>
        </is>
      </c>
      <c r="K34" s="3" t="n">
        <v>3</v>
      </c>
      <c r="L34" s="3" t="inlineStr">
        <is>
          <t>Not Started</t>
        </is>
      </c>
      <c r="M34" s="3" t="n">
        <v>0</v>
      </c>
      <c r="N34" s="3" t="inlineStr"/>
      <c r="O34" s="3" t="inlineStr">
        <is>
          <t>2026-05-12</t>
        </is>
      </c>
      <c r="P34" s="3" t="inlineStr"/>
      <c r="Q34" s="3" t="inlineStr"/>
      <c r="R34" s="4" t="inlineStr"/>
    </row>
    <row r="35">
      <c r="A35" s="3" t="inlineStr">
        <is>
          <t>APE-034</t>
        </is>
      </c>
      <c r="B35" s="3" t="inlineStr">
        <is>
          <t>Prompting + Structured Outputs</t>
        </is>
      </c>
      <c r="C35" s="3" t="inlineStr">
        <is>
          <t>Schema-First Generation</t>
        </is>
      </c>
      <c r="D35" s="4" t="inlineStr">
        <is>
          <t>Schema evolution and backward compatibility</t>
        </is>
      </c>
      <c r="E35" s="4" t="inlineStr">
        <is>
          <t>Directly relevant to your structured output parsing experience.</t>
        </is>
      </c>
      <c r="F35" s="4" t="inlineStr">
        <is>
          <t>Avoid downstream breaks when output fields change.</t>
        </is>
      </c>
      <c r="G35" s="4" t="inlineStr">
        <is>
          <t>Version one schema from v1 to v2 with adapters.</t>
        </is>
      </c>
      <c r="H35" s="4" t="inlineStr">
        <is>
          <t>Migration guide + compatibility tests.</t>
        </is>
      </c>
      <c r="I35" s="3" t="inlineStr">
        <is>
          <t>High</t>
        </is>
      </c>
      <c r="J35" s="3" t="inlineStr">
        <is>
          <t>Medium</t>
        </is>
      </c>
      <c r="K35" s="3" t="n">
        <v>3</v>
      </c>
      <c r="L35" s="3" t="inlineStr">
        <is>
          <t>Not Started</t>
        </is>
      </c>
      <c r="M35" s="3" t="n">
        <v>0</v>
      </c>
      <c r="N35" s="3" t="inlineStr"/>
      <c r="O35" s="3" t="inlineStr">
        <is>
          <t>2026-05-12</t>
        </is>
      </c>
      <c r="P35" s="3" t="inlineStr"/>
      <c r="Q35" s="3" t="inlineStr"/>
      <c r="R35" s="4" t="inlineStr"/>
    </row>
    <row r="36">
      <c r="A36" s="3" t="inlineStr">
        <is>
          <t>APE-035</t>
        </is>
      </c>
      <c r="B36" s="3" t="inlineStr">
        <is>
          <t>Prompting + Structured Outputs</t>
        </is>
      </c>
      <c r="C36" s="3" t="inlineStr">
        <is>
          <t>Schema-First Generation</t>
        </is>
      </c>
      <c r="D36" s="4" t="inlineStr">
        <is>
          <t>Confidence scoring and abstention strategies</t>
        </is>
      </c>
      <c r="E36" s="4" t="inlineStr">
        <is>
          <t>Directly relevant to your structured output parsing experience.</t>
        </is>
      </c>
      <c r="F36" s="4" t="inlineStr">
        <is>
          <t>Decide when model should return no-answer or escalate.</t>
        </is>
      </c>
      <c r="G36" s="4" t="inlineStr">
        <is>
          <t>Add confidence thresholding and human-review branch.</t>
        </is>
      </c>
      <c r="H36" s="4" t="inlineStr">
        <is>
          <t>Precision-coverage tradeoff chart.</t>
        </is>
      </c>
      <c r="I36" s="3" t="inlineStr">
        <is>
          <t>High</t>
        </is>
      </c>
      <c r="J36" s="3" t="inlineStr">
        <is>
          <t>Medium</t>
        </is>
      </c>
      <c r="K36" s="3" t="n">
        <v>3</v>
      </c>
      <c r="L36" s="3" t="inlineStr">
        <is>
          <t>Not Started</t>
        </is>
      </c>
      <c r="M36" s="3" t="n">
        <v>0</v>
      </c>
      <c r="N36" s="3" t="inlineStr"/>
      <c r="O36" s="3" t="inlineStr">
        <is>
          <t>2026-05-12</t>
        </is>
      </c>
      <c r="P36" s="3" t="inlineStr"/>
      <c r="Q36" s="3" t="inlineStr"/>
      <c r="R36" s="4" t="inlineStr"/>
    </row>
    <row r="37">
      <c r="A37" s="3" t="inlineStr">
        <is>
          <t>APE-036</t>
        </is>
      </c>
      <c r="B37" s="3" t="inlineStr">
        <is>
          <t>Embeddings</t>
        </is>
      </c>
      <c r="C37" s="3" t="inlineStr">
        <is>
          <t>Embedding Systems</t>
        </is>
      </c>
      <c r="D37" s="4" t="inlineStr">
        <is>
          <t>What embeddings are and how they are created</t>
        </is>
      </c>
      <c r="E37" s="4" t="inlineStr">
        <is>
          <t>Core for your semantic retrieval and dedup pipelines.</t>
        </is>
      </c>
      <c r="F37" s="4" t="inlineStr">
        <is>
          <t>Explain token to vector pipeline and pooling choices.</t>
        </is>
      </c>
      <c r="G37" s="4" t="inlineStr">
        <is>
          <t>Compare CLS pooling vs mean pooling behavior.</t>
        </is>
      </c>
      <c r="H37" s="4" t="inlineStr">
        <is>
          <t>Notebook with nearest-neighbor qualitative analysis.</t>
        </is>
      </c>
      <c r="I37" s="3" t="inlineStr">
        <is>
          <t>High</t>
        </is>
      </c>
      <c r="J37" s="3" t="inlineStr">
        <is>
          <t>Medium</t>
        </is>
      </c>
      <c r="K37" s="3" t="n">
        <v>3</v>
      </c>
      <c r="L37" s="3" t="inlineStr">
        <is>
          <t>Not Started</t>
        </is>
      </c>
      <c r="M37" s="3" t="n">
        <v>0</v>
      </c>
      <c r="N37" s="3" t="inlineStr"/>
      <c r="O37" s="3" t="inlineStr">
        <is>
          <t>2026-05-19</t>
        </is>
      </c>
      <c r="P37" s="3" t="inlineStr"/>
      <c r="Q37" s="3" t="inlineStr"/>
      <c r="R37" s="4" t="inlineStr"/>
    </row>
    <row r="38">
      <c r="A38" s="3" t="inlineStr">
        <is>
          <t>APE-037</t>
        </is>
      </c>
      <c r="B38" s="3" t="inlineStr">
        <is>
          <t>Embeddings</t>
        </is>
      </c>
      <c r="C38" s="3" t="inlineStr">
        <is>
          <t>Embedding Systems</t>
        </is>
      </c>
      <c r="D38" s="4" t="inlineStr">
        <is>
          <t>Embedding model families and benchmark dimensions</t>
        </is>
      </c>
      <c r="E38" s="4" t="inlineStr">
        <is>
          <t>Core for your semantic retrieval and dedup pipelines.</t>
        </is>
      </c>
      <c r="F38" s="4" t="inlineStr">
        <is>
          <t>Select embedding models by quality, domain fit, and latency.</t>
        </is>
      </c>
      <c r="G38" s="4" t="inlineStr">
        <is>
          <t>Benchmark 3 embedding models on your sample corpus.</t>
        </is>
      </c>
      <c r="H38" s="4" t="inlineStr">
        <is>
          <t>Model selection report.</t>
        </is>
      </c>
      <c r="I38" s="3" t="inlineStr">
        <is>
          <t>High</t>
        </is>
      </c>
      <c r="J38" s="3" t="inlineStr">
        <is>
          <t>Medium</t>
        </is>
      </c>
      <c r="K38" s="3" t="n">
        <v>4</v>
      </c>
      <c r="L38" s="3" t="inlineStr">
        <is>
          <t>Not Started</t>
        </is>
      </c>
      <c r="M38" s="3" t="n">
        <v>0</v>
      </c>
      <c r="N38" s="3" t="inlineStr"/>
      <c r="O38" s="3" t="inlineStr">
        <is>
          <t>2026-05-19</t>
        </is>
      </c>
      <c r="P38" s="3" t="inlineStr"/>
      <c r="Q38" s="3" t="inlineStr"/>
      <c r="R38" s="4" t="inlineStr"/>
    </row>
    <row r="39">
      <c r="A39" s="3" t="inlineStr">
        <is>
          <t>APE-038</t>
        </is>
      </c>
      <c r="B39" s="3" t="inlineStr">
        <is>
          <t>Embeddings</t>
        </is>
      </c>
      <c r="C39" s="3" t="inlineStr">
        <is>
          <t>Embedding Systems</t>
        </is>
      </c>
      <c r="D39" s="4" t="inlineStr">
        <is>
          <t>Chunk embeddings vs document embeddings</t>
        </is>
      </c>
      <c r="E39" s="4" t="inlineStr">
        <is>
          <t>Core for your semantic retrieval and dedup pipelines.</t>
        </is>
      </c>
      <c r="F39" s="4" t="inlineStr">
        <is>
          <t>Choose granularity based on retrieval task.</t>
        </is>
      </c>
      <c r="G39" s="4" t="inlineStr">
        <is>
          <t>Evaluate chunk sizes and overlap strategy impact.</t>
        </is>
      </c>
      <c r="H39" s="4" t="inlineStr">
        <is>
          <t>Chunking experiment table.</t>
        </is>
      </c>
      <c r="I39" s="3" t="inlineStr">
        <is>
          <t>High</t>
        </is>
      </c>
      <c r="J39" s="3" t="inlineStr">
        <is>
          <t>Medium</t>
        </is>
      </c>
      <c r="K39" s="3" t="n">
        <v>3</v>
      </c>
      <c r="L39" s="3" t="inlineStr">
        <is>
          <t>Not Started</t>
        </is>
      </c>
      <c r="M39" s="3" t="n">
        <v>0</v>
      </c>
      <c r="N39" s="3" t="inlineStr"/>
      <c r="O39" s="3" t="inlineStr">
        <is>
          <t>2026-05-19</t>
        </is>
      </c>
      <c r="P39" s="3" t="inlineStr"/>
      <c r="Q39" s="3" t="inlineStr"/>
      <c r="R39" s="4" t="inlineStr"/>
    </row>
    <row r="40">
      <c r="A40" s="3" t="inlineStr">
        <is>
          <t>APE-039</t>
        </is>
      </c>
      <c r="B40" s="3" t="inlineStr">
        <is>
          <t>Embeddings</t>
        </is>
      </c>
      <c r="C40" s="3" t="inlineStr">
        <is>
          <t>Embedding Systems</t>
        </is>
      </c>
      <c r="D40" s="4" t="inlineStr">
        <is>
          <t>How another LLM consumes retrieved embedding context</t>
        </is>
      </c>
      <c r="E40" s="4" t="inlineStr">
        <is>
          <t>Core for your semantic retrieval and dedup pipelines.</t>
        </is>
      </c>
      <c r="F40" s="4" t="inlineStr">
        <is>
          <t>Understand bridge from retrieval vectors to grounded generation.</t>
        </is>
      </c>
      <c r="G40" s="4" t="inlineStr">
        <is>
          <t>Trace one query from embedding retrieval to final answer.</t>
        </is>
      </c>
      <c r="H40" s="4" t="inlineStr">
        <is>
          <t>End-to-end sequence diagram.</t>
        </is>
      </c>
      <c r="I40" s="3" t="inlineStr">
        <is>
          <t>High</t>
        </is>
      </c>
      <c r="J40" s="3" t="inlineStr">
        <is>
          <t>Medium</t>
        </is>
      </c>
      <c r="K40" s="3" t="n">
        <v>3</v>
      </c>
      <c r="L40" s="3" t="inlineStr">
        <is>
          <t>Not Started</t>
        </is>
      </c>
      <c r="M40" s="3" t="n">
        <v>0</v>
      </c>
      <c r="N40" s="3" t="inlineStr"/>
      <c r="O40" s="3" t="inlineStr">
        <is>
          <t>2026-05-19</t>
        </is>
      </c>
      <c r="P40" s="3" t="inlineStr"/>
      <c r="Q40" s="3" t="inlineStr"/>
      <c r="R40" s="4" t="inlineStr"/>
    </row>
    <row r="41">
      <c r="A41" s="3" t="inlineStr">
        <is>
          <t>APE-040</t>
        </is>
      </c>
      <c r="B41" s="3" t="inlineStr">
        <is>
          <t>Embeddings</t>
        </is>
      </c>
      <c r="C41" s="3" t="inlineStr">
        <is>
          <t>Embedding Systems</t>
        </is>
      </c>
      <c r="D41" s="4" t="inlineStr">
        <is>
          <t>Embedding drift detection and re-index strategy</t>
        </is>
      </c>
      <c r="E41" s="4" t="inlineStr">
        <is>
          <t>Core for your semantic retrieval and dedup pipelines.</t>
        </is>
      </c>
      <c r="F41" s="4" t="inlineStr">
        <is>
          <t>Detect quality decay when data or model shifts.</t>
        </is>
      </c>
      <c r="G41" s="4" t="inlineStr">
        <is>
          <t>Create drift indicators on query logs and rerun index job.</t>
        </is>
      </c>
      <c r="H41" s="4" t="inlineStr">
        <is>
          <t>Drift monitor definition and runbook.</t>
        </is>
      </c>
      <c r="I41" s="3" t="inlineStr">
        <is>
          <t>High</t>
        </is>
      </c>
      <c r="J41" s="3" t="inlineStr">
        <is>
          <t>Medium</t>
        </is>
      </c>
      <c r="K41" s="3" t="n">
        <v>4</v>
      </c>
      <c r="L41" s="3" t="inlineStr">
        <is>
          <t>Not Started</t>
        </is>
      </c>
      <c r="M41" s="3" t="n">
        <v>0</v>
      </c>
      <c r="N41" s="3" t="inlineStr"/>
      <c r="O41" s="3" t="inlineStr">
        <is>
          <t>2026-05-19</t>
        </is>
      </c>
      <c r="P41" s="3" t="inlineStr"/>
      <c r="Q41" s="3" t="inlineStr"/>
      <c r="R41" s="4" t="inlineStr"/>
    </row>
    <row r="42">
      <c r="A42" s="3" t="inlineStr">
        <is>
          <t>APE-041</t>
        </is>
      </c>
      <c r="B42" s="3" t="inlineStr">
        <is>
          <t>Embeddings</t>
        </is>
      </c>
      <c r="C42" s="3" t="inlineStr">
        <is>
          <t>Embedding Systems</t>
        </is>
      </c>
      <c r="D42" s="4" t="inlineStr">
        <is>
          <t>Domain adaptation for embeddings</t>
        </is>
      </c>
      <c r="E42" s="4" t="inlineStr">
        <is>
          <t>Core for your semantic retrieval and dedup pipelines.</t>
        </is>
      </c>
      <c r="F42" s="4" t="inlineStr">
        <is>
          <t>Improve semantic match for enterprise vocabulary.</t>
        </is>
      </c>
      <c r="G42" s="4" t="inlineStr">
        <is>
          <t>Evaluate adapter or reranker improvements on domain terms.</t>
        </is>
      </c>
      <c r="H42" s="4" t="inlineStr">
        <is>
          <t>Before/after relevance examples.</t>
        </is>
      </c>
      <c r="I42" s="3" t="inlineStr">
        <is>
          <t>High</t>
        </is>
      </c>
      <c r="J42" s="3" t="inlineStr">
        <is>
          <t>Medium</t>
        </is>
      </c>
      <c r="K42" s="3" t="n">
        <v>4</v>
      </c>
      <c r="L42" s="3" t="inlineStr">
        <is>
          <t>Not Started</t>
        </is>
      </c>
      <c r="M42" s="3" t="n">
        <v>0</v>
      </c>
      <c r="N42" s="3" t="inlineStr"/>
      <c r="O42" s="3" t="inlineStr">
        <is>
          <t>2026-05-26</t>
        </is>
      </c>
      <c r="P42" s="3" t="inlineStr"/>
      <c r="Q42" s="3" t="inlineStr"/>
      <c r="R42" s="4" t="inlineStr"/>
    </row>
    <row r="43">
      <c r="A43" s="3" t="inlineStr">
        <is>
          <t>APE-042</t>
        </is>
      </c>
      <c r="B43" s="3" t="inlineStr">
        <is>
          <t>Vector Databases</t>
        </is>
      </c>
      <c r="C43" s="3" t="inlineStr">
        <is>
          <t>ANN Indexing + Search</t>
        </is>
      </c>
      <c r="D43" s="4" t="inlineStr">
        <is>
          <t>Exact search vs ANN: trade-offs</t>
        </is>
      </c>
      <c r="E43" s="4" t="inlineStr">
        <is>
          <t>Deepens your Pinecone/Chroma/pgvector experience.</t>
        </is>
      </c>
      <c r="F43" s="4" t="inlineStr">
        <is>
          <t>Understand recall-latency-memory frontier.</t>
        </is>
      </c>
      <c r="G43" s="4" t="inlineStr">
        <is>
          <t>Benchmark brute force vs ANN on 100k vectors.</t>
        </is>
      </c>
      <c r="H43" s="4" t="inlineStr">
        <is>
          <t>Benchmark sheet with recommendation.</t>
        </is>
      </c>
      <c r="I43" s="3" t="inlineStr">
        <is>
          <t>High</t>
        </is>
      </c>
      <c r="J43" s="3" t="inlineStr">
        <is>
          <t>Hard</t>
        </is>
      </c>
      <c r="K43" s="3" t="n">
        <v>3</v>
      </c>
      <c r="L43" s="3" t="inlineStr">
        <is>
          <t>Not Started</t>
        </is>
      </c>
      <c r="M43" s="3" t="n">
        <v>0</v>
      </c>
      <c r="N43" s="3" t="inlineStr"/>
      <c r="O43" s="3" t="inlineStr">
        <is>
          <t>2026-05-26</t>
        </is>
      </c>
      <c r="P43" s="3" t="inlineStr"/>
      <c r="Q43" s="3" t="inlineStr"/>
      <c r="R43" s="4" t="inlineStr"/>
    </row>
    <row r="44">
      <c r="A44" s="3" t="inlineStr">
        <is>
          <t>APE-043</t>
        </is>
      </c>
      <c r="B44" s="3" t="inlineStr">
        <is>
          <t>Vector Databases</t>
        </is>
      </c>
      <c r="C44" s="3" t="inlineStr">
        <is>
          <t>ANN Indexing + Search</t>
        </is>
      </c>
      <c r="D44" s="4" t="inlineStr">
        <is>
          <t>HNSW graph indexing internals</t>
        </is>
      </c>
      <c r="E44" s="4" t="inlineStr">
        <is>
          <t>Deepens your Pinecone/Chroma/pgvector experience.</t>
        </is>
      </c>
      <c r="F44" s="4" t="inlineStr">
        <is>
          <t>Tune M, ef_construction, and ef_search effectively.</t>
        </is>
      </c>
      <c r="G44" s="4" t="inlineStr">
        <is>
          <t>Sweep HNSW parameters and plot recall-latency curves.</t>
        </is>
      </c>
      <c r="H44" s="4" t="inlineStr">
        <is>
          <t>Parameter tuning notebook.</t>
        </is>
      </c>
      <c r="I44" s="3" t="inlineStr">
        <is>
          <t>High</t>
        </is>
      </c>
      <c r="J44" s="3" t="inlineStr">
        <is>
          <t>Hard</t>
        </is>
      </c>
      <c r="K44" s="3" t="n">
        <v>4</v>
      </c>
      <c r="L44" s="3" t="inlineStr">
        <is>
          <t>Not Started</t>
        </is>
      </c>
      <c r="M44" s="3" t="n">
        <v>0</v>
      </c>
      <c r="N44" s="3" t="inlineStr"/>
      <c r="O44" s="3" t="inlineStr">
        <is>
          <t>2026-05-26</t>
        </is>
      </c>
      <c r="P44" s="3" t="inlineStr"/>
      <c r="Q44" s="3" t="inlineStr"/>
      <c r="R44" s="4" t="inlineStr"/>
    </row>
    <row r="45">
      <c r="A45" s="3" t="inlineStr">
        <is>
          <t>APE-044</t>
        </is>
      </c>
      <c r="B45" s="3" t="inlineStr">
        <is>
          <t>Vector Databases</t>
        </is>
      </c>
      <c r="C45" s="3" t="inlineStr">
        <is>
          <t>ANN Indexing + Search</t>
        </is>
      </c>
      <c r="D45" s="4" t="inlineStr">
        <is>
          <t>IVF and product quantization</t>
        </is>
      </c>
      <c r="E45" s="4" t="inlineStr">
        <is>
          <t>Deepens your Pinecone/Chroma/pgvector experience.</t>
        </is>
      </c>
      <c r="F45" s="4" t="inlineStr">
        <is>
          <t>Know when compression helps and how it impacts recall.</t>
        </is>
      </c>
      <c r="G45" s="4" t="inlineStr">
        <is>
          <t>Compare IVF-PQ config against HNSW for memory limits.</t>
        </is>
      </c>
      <c r="H45" s="4" t="inlineStr">
        <is>
          <t>Memory-vs-quality report.</t>
        </is>
      </c>
      <c r="I45" s="3" t="inlineStr">
        <is>
          <t>High</t>
        </is>
      </c>
      <c r="J45" s="3" t="inlineStr">
        <is>
          <t>Hard</t>
        </is>
      </c>
      <c r="K45" s="3" t="n">
        <v>4</v>
      </c>
      <c r="L45" s="3" t="inlineStr">
        <is>
          <t>Not Started</t>
        </is>
      </c>
      <c r="M45" s="3" t="n">
        <v>0</v>
      </c>
      <c r="N45" s="3" t="inlineStr"/>
      <c r="O45" s="3" t="inlineStr">
        <is>
          <t>2026-05-26</t>
        </is>
      </c>
      <c r="P45" s="3" t="inlineStr"/>
      <c r="Q45" s="3" t="inlineStr"/>
      <c r="R45" s="4" t="inlineStr"/>
    </row>
    <row r="46">
      <c r="A46" s="3" t="inlineStr">
        <is>
          <t>APE-045</t>
        </is>
      </c>
      <c r="B46" s="3" t="inlineStr">
        <is>
          <t>Vector Databases</t>
        </is>
      </c>
      <c r="C46" s="3" t="inlineStr">
        <is>
          <t>ANN Indexing + Search</t>
        </is>
      </c>
      <c r="D46" s="4" t="inlineStr">
        <is>
          <t>Metadata filtering, hybrid retrieval, and score fusion</t>
        </is>
      </c>
      <c r="E46" s="4" t="inlineStr">
        <is>
          <t>Deepens your Pinecone/Chroma/pgvector experience.</t>
        </is>
      </c>
      <c r="F46" s="4" t="inlineStr">
        <is>
          <t>Combine semantic and lexical retrieval correctly.</t>
        </is>
      </c>
      <c r="G46" s="4" t="inlineStr">
        <is>
          <t>Implement BM25 + vector hybrid with weighted fusion.</t>
        </is>
      </c>
      <c r="H46" s="4" t="inlineStr">
        <is>
          <t>Retrieval pipeline code and metric gains.</t>
        </is>
      </c>
      <c r="I46" s="3" t="inlineStr">
        <is>
          <t>High</t>
        </is>
      </c>
      <c r="J46" s="3" t="inlineStr">
        <is>
          <t>Hard</t>
        </is>
      </c>
      <c r="K46" s="3" t="n">
        <v>4</v>
      </c>
      <c r="L46" s="3" t="inlineStr">
        <is>
          <t>Not Started</t>
        </is>
      </c>
      <c r="M46" s="3" t="n">
        <v>0</v>
      </c>
      <c r="N46" s="3" t="inlineStr"/>
      <c r="O46" s="3" t="inlineStr">
        <is>
          <t>2026-05-26</t>
        </is>
      </c>
      <c r="P46" s="3" t="inlineStr"/>
      <c r="Q46" s="3" t="inlineStr"/>
      <c r="R46" s="4" t="inlineStr"/>
    </row>
    <row r="47">
      <c r="A47" s="3" t="inlineStr">
        <is>
          <t>APE-046</t>
        </is>
      </c>
      <c r="B47" s="3" t="inlineStr">
        <is>
          <t>Vector Databases</t>
        </is>
      </c>
      <c r="C47" s="3" t="inlineStr">
        <is>
          <t>ANN Indexing + Search</t>
        </is>
      </c>
      <c r="D47" s="4" t="inlineStr">
        <is>
          <t>Operational concerns: upserts, deletes, tombstones</t>
        </is>
      </c>
      <c r="E47" s="4" t="inlineStr">
        <is>
          <t>Deepens your Pinecone/Chroma/pgvector experience.</t>
        </is>
      </c>
      <c r="F47" s="4" t="inlineStr">
        <is>
          <t>Maintain index hygiene and freshness in production.</t>
        </is>
      </c>
      <c r="G47" s="4" t="inlineStr">
        <is>
          <t>Design deletion and reindex workflow with audit logs.</t>
        </is>
      </c>
      <c r="H47" s="4" t="inlineStr">
        <is>
          <t>Index maintenance SOP.</t>
        </is>
      </c>
      <c r="I47" s="3" t="inlineStr">
        <is>
          <t>High</t>
        </is>
      </c>
      <c r="J47" s="3" t="inlineStr">
        <is>
          <t>Hard</t>
        </is>
      </c>
      <c r="K47" s="3" t="n">
        <v>3</v>
      </c>
      <c r="L47" s="3" t="inlineStr">
        <is>
          <t>Not Started</t>
        </is>
      </c>
      <c r="M47" s="3" t="n">
        <v>0</v>
      </c>
      <c r="N47" s="3" t="inlineStr"/>
      <c r="O47" s="3" t="inlineStr">
        <is>
          <t>2026-06-02</t>
        </is>
      </c>
      <c r="P47" s="3" t="inlineStr"/>
      <c r="Q47" s="3" t="inlineStr"/>
      <c r="R47" s="4" t="inlineStr"/>
    </row>
    <row r="48">
      <c r="A48" s="3" t="inlineStr">
        <is>
          <t>APE-047</t>
        </is>
      </c>
      <c r="B48" s="3" t="inlineStr">
        <is>
          <t>Vector Databases</t>
        </is>
      </c>
      <c r="C48" s="3" t="inlineStr">
        <is>
          <t>ANN Indexing + Search</t>
        </is>
      </c>
      <c r="D48" s="4" t="inlineStr">
        <is>
          <t>Why vector DB vs RDBMS and when to combine</t>
        </is>
      </c>
      <c r="E48" s="4" t="inlineStr">
        <is>
          <t>Deepens your Pinecone/Chroma/pgvector experience.</t>
        </is>
      </c>
      <c r="F48" s="4" t="inlineStr">
        <is>
          <t>Explain capability boundaries for architecture decisions.</t>
        </is>
      </c>
      <c r="G48" s="4" t="inlineStr">
        <is>
          <t>Write architecture note for three product scenarios.</t>
        </is>
      </c>
      <c r="H48" s="4" t="inlineStr">
        <is>
          <t>Decision document with examples.</t>
        </is>
      </c>
      <c r="I48" s="3" t="inlineStr">
        <is>
          <t>High</t>
        </is>
      </c>
      <c r="J48" s="3" t="inlineStr">
        <is>
          <t>Hard</t>
        </is>
      </c>
      <c r="K48" s="3" t="n">
        <v>3</v>
      </c>
      <c r="L48" s="3" t="inlineStr">
        <is>
          <t>Not Started</t>
        </is>
      </c>
      <c r="M48" s="3" t="n">
        <v>0</v>
      </c>
      <c r="N48" s="3" t="inlineStr"/>
      <c r="O48" s="3" t="inlineStr">
        <is>
          <t>2026-06-02</t>
        </is>
      </c>
      <c r="P48" s="3" t="inlineStr"/>
      <c r="Q48" s="3" t="inlineStr"/>
      <c r="R48" s="4" t="inlineStr"/>
    </row>
    <row r="49">
      <c r="A49" s="3" t="inlineStr">
        <is>
          <t>APE-048</t>
        </is>
      </c>
      <c r="B49" s="3" t="inlineStr">
        <is>
          <t>RAG Engineering</t>
        </is>
      </c>
      <c r="C49" s="3" t="inlineStr">
        <is>
          <t>End-to-End Pipeline</t>
        </is>
      </c>
      <c r="D49" s="4" t="inlineStr">
        <is>
          <t>RAG system decomposition: ingest, index, retrieve, generate, evaluate</t>
        </is>
      </c>
      <c r="E49" s="4" t="inlineStr">
        <is>
          <t>Most aligned with your enterprise knowledge assistant projects.</t>
        </is>
      </c>
      <c r="F49" s="4" t="inlineStr">
        <is>
          <t>Design each stage with explicit contracts.</t>
        </is>
      </c>
      <c r="G49" s="4" t="inlineStr">
        <is>
          <t>Draw architecture and define interfaces for each stage.</t>
        </is>
      </c>
      <c r="H49" s="4" t="inlineStr">
        <is>
          <t>Architecture diagram + API contracts.</t>
        </is>
      </c>
      <c r="I49" s="3" t="inlineStr">
        <is>
          <t>High</t>
        </is>
      </c>
      <c r="J49" s="3" t="inlineStr">
        <is>
          <t>Hard</t>
        </is>
      </c>
      <c r="K49" s="3" t="n">
        <v>3</v>
      </c>
      <c r="L49" s="3" t="inlineStr">
        <is>
          <t>Not Started</t>
        </is>
      </c>
      <c r="M49" s="3" t="n">
        <v>0</v>
      </c>
      <c r="N49" s="3" t="inlineStr"/>
      <c r="O49" s="3" t="inlineStr">
        <is>
          <t>2026-06-02</t>
        </is>
      </c>
      <c r="P49" s="3" t="inlineStr"/>
      <c r="Q49" s="3" t="inlineStr"/>
      <c r="R49" s="4" t="inlineStr"/>
    </row>
    <row r="50">
      <c r="A50" s="3" t="inlineStr">
        <is>
          <t>APE-049</t>
        </is>
      </c>
      <c r="B50" s="3" t="inlineStr">
        <is>
          <t>RAG Engineering</t>
        </is>
      </c>
      <c r="C50" s="3" t="inlineStr">
        <is>
          <t>End-to-End Pipeline</t>
        </is>
      </c>
      <c r="D50" s="4" t="inlineStr">
        <is>
          <t>Document ingestion quality: parsing, OCR, cleaning</t>
        </is>
      </c>
      <c r="E50" s="4" t="inlineStr">
        <is>
          <t>Most aligned with your enterprise knowledge assistant projects.</t>
        </is>
      </c>
      <c r="F50" s="4" t="inlineStr">
        <is>
          <t>Reduce garbage-in effects for retrieval.</t>
        </is>
      </c>
      <c r="G50" s="4" t="inlineStr">
        <is>
          <t>Build parser quality checks with sampling review.</t>
        </is>
      </c>
      <c r="H50" s="4" t="inlineStr">
        <is>
          <t>Ingestion quality checklist and pass rates.</t>
        </is>
      </c>
      <c r="I50" s="3" t="inlineStr">
        <is>
          <t>High</t>
        </is>
      </c>
      <c r="J50" s="3" t="inlineStr">
        <is>
          <t>Hard</t>
        </is>
      </c>
      <c r="K50" s="3" t="n">
        <v>4</v>
      </c>
      <c r="L50" s="3" t="inlineStr">
        <is>
          <t>Not Started</t>
        </is>
      </c>
      <c r="M50" s="3" t="n">
        <v>0</v>
      </c>
      <c r="N50" s="3" t="inlineStr"/>
      <c r="O50" s="3" t="inlineStr">
        <is>
          <t>2026-06-02</t>
        </is>
      </c>
      <c r="P50" s="3" t="inlineStr"/>
      <c r="Q50" s="3" t="inlineStr"/>
      <c r="R50" s="4" t="inlineStr"/>
    </row>
    <row r="51">
      <c r="A51" s="3" t="inlineStr">
        <is>
          <t>APE-050</t>
        </is>
      </c>
      <c r="B51" s="3" t="inlineStr">
        <is>
          <t>RAG Engineering</t>
        </is>
      </c>
      <c r="C51" s="3" t="inlineStr">
        <is>
          <t>End-to-End Pipeline</t>
        </is>
      </c>
      <c r="D51" s="4" t="inlineStr">
        <is>
          <t>Chunking strategies: fixed, semantic, hierarchical</t>
        </is>
      </c>
      <c r="E51" s="4" t="inlineStr">
        <is>
          <t>Most aligned with your enterprise knowledge assistant projects.</t>
        </is>
      </c>
      <c r="F51" s="4" t="inlineStr">
        <is>
          <t>Select chunking by document type and task.</t>
        </is>
      </c>
      <c r="G51" s="4" t="inlineStr">
        <is>
          <t>Run chunking A/B on policy docs and emails.</t>
        </is>
      </c>
      <c r="H51" s="4" t="inlineStr">
        <is>
          <t>Chunk strategy decision table.</t>
        </is>
      </c>
      <c r="I51" s="3" t="inlineStr">
        <is>
          <t>High</t>
        </is>
      </c>
      <c r="J51" s="3" t="inlineStr">
        <is>
          <t>Hard</t>
        </is>
      </c>
      <c r="K51" s="3" t="n">
        <v>4</v>
      </c>
      <c r="L51" s="3" t="inlineStr">
        <is>
          <t>Not Started</t>
        </is>
      </c>
      <c r="M51" s="3" t="n">
        <v>0</v>
      </c>
      <c r="N51" s="3" t="inlineStr"/>
      <c r="O51" s="3" t="inlineStr">
        <is>
          <t>2026-06-02</t>
        </is>
      </c>
      <c r="P51" s="3" t="inlineStr"/>
      <c r="Q51" s="3" t="inlineStr"/>
      <c r="R51" s="4" t="inlineStr"/>
    </row>
    <row r="52">
      <c r="A52" s="3" t="inlineStr">
        <is>
          <t>APE-051</t>
        </is>
      </c>
      <c r="B52" s="3" t="inlineStr">
        <is>
          <t>RAG Engineering</t>
        </is>
      </c>
      <c r="C52" s="3" t="inlineStr">
        <is>
          <t>End-to-End Pipeline</t>
        </is>
      </c>
      <c r="D52" s="4" t="inlineStr">
        <is>
          <t>Query transformation: rewriting, decomposition, expansion</t>
        </is>
      </c>
      <c r="E52" s="4" t="inlineStr">
        <is>
          <t>Most aligned with your enterprise knowledge assistant projects.</t>
        </is>
      </c>
      <c r="F52" s="4" t="inlineStr">
        <is>
          <t>Improve retrieval for underspecified user queries.</t>
        </is>
      </c>
      <c r="G52" s="4" t="inlineStr">
        <is>
          <t>Implement one query rewriter and compare retrieval metrics.</t>
        </is>
      </c>
      <c r="H52" s="4" t="inlineStr">
        <is>
          <t>Retriever comparison report.</t>
        </is>
      </c>
      <c r="I52" s="3" t="inlineStr">
        <is>
          <t>High</t>
        </is>
      </c>
      <c r="J52" s="3" t="inlineStr">
        <is>
          <t>Hard</t>
        </is>
      </c>
      <c r="K52" s="3" t="n">
        <v>4</v>
      </c>
      <c r="L52" s="3" t="inlineStr">
        <is>
          <t>Not Started</t>
        </is>
      </c>
      <c r="M52" s="3" t="n">
        <v>0</v>
      </c>
      <c r="N52" s="3" t="inlineStr"/>
      <c r="O52" s="3" t="inlineStr">
        <is>
          <t>2026-06-09</t>
        </is>
      </c>
      <c r="P52" s="3" t="inlineStr"/>
      <c r="Q52" s="3" t="inlineStr"/>
      <c r="R52" s="4" t="inlineStr"/>
    </row>
    <row r="53">
      <c r="A53" s="3" t="inlineStr">
        <is>
          <t>APE-052</t>
        </is>
      </c>
      <c r="B53" s="3" t="inlineStr">
        <is>
          <t>RAG Engineering</t>
        </is>
      </c>
      <c r="C53" s="3" t="inlineStr">
        <is>
          <t>End-to-End Pipeline</t>
        </is>
      </c>
      <c r="D53" s="4" t="inlineStr">
        <is>
          <t>Re-ranking with cross-encoder and late interaction</t>
        </is>
      </c>
      <c r="E53" s="4" t="inlineStr">
        <is>
          <t>Most aligned with your enterprise knowledge assistant projects.</t>
        </is>
      </c>
      <c r="F53" s="4" t="inlineStr">
        <is>
          <t>Improve precision for top context windows.</t>
        </is>
      </c>
      <c r="G53" s="4" t="inlineStr">
        <is>
          <t>Apply reranking on top-20 retrieval candidates.</t>
        </is>
      </c>
      <c r="H53" s="4" t="inlineStr">
        <is>
          <t>Top-k relevance gain analysis.</t>
        </is>
      </c>
      <c r="I53" s="3" t="inlineStr">
        <is>
          <t>High</t>
        </is>
      </c>
      <c r="J53" s="3" t="inlineStr">
        <is>
          <t>Hard</t>
        </is>
      </c>
      <c r="K53" s="3" t="n">
        <v>4</v>
      </c>
      <c r="L53" s="3" t="inlineStr">
        <is>
          <t>Not Started</t>
        </is>
      </c>
      <c r="M53" s="3" t="n">
        <v>0</v>
      </c>
      <c r="N53" s="3" t="inlineStr"/>
      <c r="O53" s="3" t="inlineStr">
        <is>
          <t>2026-06-09</t>
        </is>
      </c>
      <c r="P53" s="3" t="inlineStr"/>
      <c r="Q53" s="3" t="inlineStr"/>
      <c r="R53" s="4" t="inlineStr"/>
    </row>
    <row r="54">
      <c r="A54" s="3" t="inlineStr">
        <is>
          <t>APE-053</t>
        </is>
      </c>
      <c r="B54" s="3" t="inlineStr">
        <is>
          <t>RAG Engineering</t>
        </is>
      </c>
      <c r="C54" s="3" t="inlineStr">
        <is>
          <t>End-to-End Pipeline</t>
        </is>
      </c>
      <c r="D54" s="4" t="inlineStr">
        <is>
          <t>Context packing and anti lost-in-the-middle tactics</t>
        </is>
      </c>
      <c r="E54" s="4" t="inlineStr">
        <is>
          <t>Most aligned with your enterprise knowledge assistant projects.</t>
        </is>
      </c>
      <c r="F54" s="4" t="inlineStr">
        <is>
          <t>Place high-value evidence in robust positions.</t>
        </is>
      </c>
      <c r="G54" s="4" t="inlineStr">
        <is>
          <t>Test ordering heuristics and summarize answer quality changes.</t>
        </is>
      </c>
      <c r="H54" s="4" t="inlineStr">
        <is>
          <t>Prompt packing policy.</t>
        </is>
      </c>
      <c r="I54" s="3" t="inlineStr">
        <is>
          <t>High</t>
        </is>
      </c>
      <c r="J54" s="3" t="inlineStr">
        <is>
          <t>Hard</t>
        </is>
      </c>
      <c r="K54" s="3" t="n">
        <v>3</v>
      </c>
      <c r="L54" s="3" t="inlineStr">
        <is>
          <t>Not Started</t>
        </is>
      </c>
      <c r="M54" s="3" t="n">
        <v>0</v>
      </c>
      <c r="N54" s="3" t="inlineStr"/>
      <c r="O54" s="3" t="inlineStr">
        <is>
          <t>2026-06-09</t>
        </is>
      </c>
      <c r="P54" s="3" t="inlineStr"/>
      <c r="Q54" s="3" t="inlineStr"/>
      <c r="R54" s="4" t="inlineStr"/>
    </row>
    <row r="55">
      <c r="A55" s="3" t="inlineStr">
        <is>
          <t>APE-054</t>
        </is>
      </c>
      <c r="B55" s="3" t="inlineStr">
        <is>
          <t>RAG Engineering</t>
        </is>
      </c>
      <c r="C55" s="3" t="inlineStr">
        <is>
          <t>End-to-End Pipeline</t>
        </is>
      </c>
      <c r="D55" s="4" t="inlineStr">
        <is>
          <t>Citation generation and grounding metadata</t>
        </is>
      </c>
      <c r="E55" s="4" t="inlineStr">
        <is>
          <t>Most aligned with your enterprise knowledge assistant projects.</t>
        </is>
      </c>
      <c r="F55" s="4" t="inlineStr">
        <is>
          <t>Make answers verifiable and enterprise-safe.</t>
        </is>
      </c>
      <c r="G55" s="4" t="inlineStr">
        <is>
          <t>Add source citations with chunk IDs and confidence.</t>
        </is>
      </c>
      <c r="H55" s="4" t="inlineStr">
        <is>
          <t>Grounded response template.</t>
        </is>
      </c>
      <c r="I55" s="3" t="inlineStr">
        <is>
          <t>High</t>
        </is>
      </c>
      <c r="J55" s="3" t="inlineStr">
        <is>
          <t>Hard</t>
        </is>
      </c>
      <c r="K55" s="3" t="n">
        <v>3</v>
      </c>
      <c r="L55" s="3" t="inlineStr">
        <is>
          <t>Not Started</t>
        </is>
      </c>
      <c r="M55" s="3" t="n">
        <v>0</v>
      </c>
      <c r="N55" s="3" t="inlineStr"/>
      <c r="O55" s="3" t="inlineStr">
        <is>
          <t>2026-06-09</t>
        </is>
      </c>
      <c r="P55" s="3" t="inlineStr"/>
      <c r="Q55" s="3" t="inlineStr"/>
      <c r="R55" s="4" t="inlineStr"/>
    </row>
    <row r="56">
      <c r="A56" s="3" t="inlineStr">
        <is>
          <t>APE-055</t>
        </is>
      </c>
      <c r="B56" s="3" t="inlineStr">
        <is>
          <t>RAG Engineering</t>
        </is>
      </c>
      <c r="C56" s="3" t="inlineStr">
        <is>
          <t>End-to-End Pipeline</t>
        </is>
      </c>
      <c r="D56" s="4" t="inlineStr">
        <is>
          <t>No-answer behavior and escalation policy</t>
        </is>
      </c>
      <c r="E56" s="4" t="inlineStr">
        <is>
          <t>Most aligned with your enterprise knowledge assistant projects.</t>
        </is>
      </c>
      <c r="F56" s="4" t="inlineStr">
        <is>
          <t>Avoid fabricated answers when evidence is missing.</t>
        </is>
      </c>
      <c r="G56" s="4" t="inlineStr">
        <is>
          <t>Build abstain logic with explicit user fallback paths.</t>
        </is>
      </c>
      <c r="H56" s="4" t="inlineStr">
        <is>
          <t>Policy + confusion matrix.</t>
        </is>
      </c>
      <c r="I56" s="3" t="inlineStr">
        <is>
          <t>High</t>
        </is>
      </c>
      <c r="J56" s="3" t="inlineStr">
        <is>
          <t>Hard</t>
        </is>
      </c>
      <c r="K56" s="3" t="n">
        <v>3</v>
      </c>
      <c r="L56" s="3" t="inlineStr">
        <is>
          <t>Not Started</t>
        </is>
      </c>
      <c r="M56" s="3" t="n">
        <v>0</v>
      </c>
      <c r="N56" s="3" t="inlineStr"/>
      <c r="O56" s="3" t="inlineStr">
        <is>
          <t>2026-06-09</t>
        </is>
      </c>
      <c r="P56" s="3" t="inlineStr"/>
      <c r="Q56" s="3" t="inlineStr"/>
      <c r="R56" s="4" t="inlineStr"/>
    </row>
    <row r="57">
      <c r="A57" s="3" t="inlineStr">
        <is>
          <t>APE-056</t>
        </is>
      </c>
      <c r="B57" s="3" t="inlineStr">
        <is>
          <t>Agentic AI Systems</t>
        </is>
      </c>
      <c r="C57" s="3" t="inlineStr">
        <is>
          <t>Agent Architecture + Control</t>
        </is>
      </c>
      <c r="D57" s="4" t="inlineStr">
        <is>
          <t>Agent vs normal Python workflow: decision criteria</t>
        </is>
      </c>
      <c r="E57" s="4" t="inlineStr">
        <is>
          <t>Aligned with your LangGraph and HITL orchestration experience.</t>
        </is>
      </c>
      <c r="F57" s="4" t="inlineStr">
        <is>
          <t>Know when deterministic code beats agent autonomy.</t>
        </is>
      </c>
      <c r="G57" s="4" t="inlineStr">
        <is>
          <t>Create comparison table for 10 workflow tasks.</t>
        </is>
      </c>
      <c r="H57" s="4" t="inlineStr">
        <is>
          <t>Agent suitability rubric.</t>
        </is>
      </c>
      <c r="I57" s="3" t="inlineStr">
        <is>
          <t>High</t>
        </is>
      </c>
      <c r="J57" s="3" t="inlineStr">
        <is>
          <t>Hard</t>
        </is>
      </c>
      <c r="K57" s="3" t="n">
        <v>3</v>
      </c>
      <c r="L57" s="3" t="inlineStr">
        <is>
          <t>Not Started</t>
        </is>
      </c>
      <c r="M57" s="3" t="n">
        <v>0</v>
      </c>
      <c r="N57" s="3" t="inlineStr"/>
      <c r="O57" s="3" t="inlineStr">
        <is>
          <t>2026-06-16</t>
        </is>
      </c>
      <c r="P57" s="3" t="inlineStr"/>
      <c r="Q57" s="3" t="inlineStr"/>
      <c r="R57" s="4" t="inlineStr"/>
    </row>
    <row r="58">
      <c r="A58" s="3" t="inlineStr">
        <is>
          <t>APE-057</t>
        </is>
      </c>
      <c r="B58" s="3" t="inlineStr">
        <is>
          <t>Agentic AI Systems</t>
        </is>
      </c>
      <c r="C58" s="3" t="inlineStr">
        <is>
          <t>Agent Architecture + Control</t>
        </is>
      </c>
      <c r="D58" s="4" t="inlineStr">
        <is>
          <t>Planning patterns: ReAct, Plan-and-Execute, graph planners</t>
        </is>
      </c>
      <c r="E58" s="4" t="inlineStr">
        <is>
          <t>Aligned with your LangGraph and HITL orchestration experience.</t>
        </is>
      </c>
      <c r="F58" s="4" t="inlineStr">
        <is>
          <t>Choose planner based on reliability and latency constraints.</t>
        </is>
      </c>
      <c r="G58" s="4" t="inlineStr">
        <is>
          <t>Implement two planner variants for same business flow.</t>
        </is>
      </c>
      <c r="H58" s="4" t="inlineStr">
        <is>
          <t>Planner performance comparison.</t>
        </is>
      </c>
      <c r="I58" s="3" t="inlineStr">
        <is>
          <t>High</t>
        </is>
      </c>
      <c r="J58" s="3" t="inlineStr">
        <is>
          <t>Hard</t>
        </is>
      </c>
      <c r="K58" s="3" t="n">
        <v>4</v>
      </c>
      <c r="L58" s="3" t="inlineStr">
        <is>
          <t>Not Started</t>
        </is>
      </c>
      <c r="M58" s="3" t="n">
        <v>0</v>
      </c>
      <c r="N58" s="3" t="inlineStr"/>
      <c r="O58" s="3" t="inlineStr">
        <is>
          <t>2026-06-16</t>
        </is>
      </c>
      <c r="P58" s="3" t="inlineStr"/>
      <c r="Q58" s="3" t="inlineStr"/>
      <c r="R58" s="4" t="inlineStr"/>
    </row>
    <row r="59">
      <c r="A59" s="3" t="inlineStr">
        <is>
          <t>APE-058</t>
        </is>
      </c>
      <c r="B59" s="3" t="inlineStr">
        <is>
          <t>Agentic AI Systems</t>
        </is>
      </c>
      <c r="C59" s="3" t="inlineStr">
        <is>
          <t>Agent Architecture + Control</t>
        </is>
      </c>
      <c r="D59" s="4" t="inlineStr">
        <is>
          <t>State modeling for agent workflows</t>
        </is>
      </c>
      <c r="E59" s="4" t="inlineStr">
        <is>
          <t>Aligned with your LangGraph and HITL orchestration experience.</t>
        </is>
      </c>
      <c r="F59" s="4" t="inlineStr">
        <is>
          <t>Model explicit state transitions and invariants.</t>
        </is>
      </c>
      <c r="G59" s="4" t="inlineStr">
        <is>
          <t>Define typed state object and transition guards.</t>
        </is>
      </c>
      <c r="H59" s="4" t="inlineStr">
        <is>
          <t>State machine spec with tests.</t>
        </is>
      </c>
      <c r="I59" s="3" t="inlineStr">
        <is>
          <t>High</t>
        </is>
      </c>
      <c r="J59" s="3" t="inlineStr">
        <is>
          <t>Hard</t>
        </is>
      </c>
      <c r="K59" s="3" t="n">
        <v>4</v>
      </c>
      <c r="L59" s="3" t="inlineStr">
        <is>
          <t>Not Started</t>
        </is>
      </c>
      <c r="M59" s="3" t="n">
        <v>0</v>
      </c>
      <c r="N59" s="3" t="inlineStr"/>
      <c r="O59" s="3" t="inlineStr">
        <is>
          <t>2026-06-16</t>
        </is>
      </c>
      <c r="P59" s="3" t="inlineStr"/>
      <c r="Q59" s="3" t="inlineStr"/>
      <c r="R59" s="4" t="inlineStr"/>
    </row>
    <row r="60">
      <c r="A60" s="3" t="inlineStr">
        <is>
          <t>APE-059</t>
        </is>
      </c>
      <c r="B60" s="3" t="inlineStr">
        <is>
          <t>Agentic AI Systems</t>
        </is>
      </c>
      <c r="C60" s="3" t="inlineStr">
        <is>
          <t>Agent Architecture + Control</t>
        </is>
      </c>
      <c r="D60" s="4" t="inlineStr">
        <is>
          <t>Tool reliability contracts and side-effect control</t>
        </is>
      </c>
      <c r="E60" s="4" t="inlineStr">
        <is>
          <t>Aligned with your LangGraph and HITL orchestration experience.</t>
        </is>
      </c>
      <c r="F60" s="4" t="inlineStr">
        <is>
          <t>Prevent unsafe or duplicate tool actions.</t>
        </is>
      </c>
      <c r="G60" s="4" t="inlineStr">
        <is>
          <t>Add preconditions and postconditions to tool wrappers.</t>
        </is>
      </c>
      <c r="H60" s="4" t="inlineStr">
        <is>
          <t>Tool contract checklist.</t>
        </is>
      </c>
      <c r="I60" s="3" t="inlineStr">
        <is>
          <t>High</t>
        </is>
      </c>
      <c r="J60" s="3" t="inlineStr">
        <is>
          <t>Hard</t>
        </is>
      </c>
      <c r="K60" s="3" t="n">
        <v>3</v>
      </c>
      <c r="L60" s="3" t="inlineStr">
        <is>
          <t>Not Started</t>
        </is>
      </c>
      <c r="M60" s="3" t="n">
        <v>0</v>
      </c>
      <c r="N60" s="3" t="inlineStr"/>
      <c r="O60" s="3" t="inlineStr">
        <is>
          <t>2026-06-16</t>
        </is>
      </c>
      <c r="P60" s="3" t="inlineStr"/>
      <c r="Q60" s="3" t="inlineStr"/>
      <c r="R60" s="4" t="inlineStr"/>
    </row>
    <row r="61">
      <c r="A61" s="3" t="inlineStr">
        <is>
          <t>APE-060</t>
        </is>
      </c>
      <c r="B61" s="3" t="inlineStr">
        <is>
          <t>Agentic AI Systems</t>
        </is>
      </c>
      <c r="C61" s="3" t="inlineStr">
        <is>
          <t>Agent Architecture + Control</t>
        </is>
      </c>
      <c r="D61" s="4" t="inlineStr">
        <is>
          <t>Memory in agents: working, episodic, long-term</t>
        </is>
      </c>
      <c r="E61" s="4" t="inlineStr">
        <is>
          <t>Aligned with your LangGraph and HITL orchestration experience.</t>
        </is>
      </c>
      <c r="F61" s="4" t="inlineStr">
        <is>
          <t>Select memory policy by task and privacy constraints.</t>
        </is>
      </c>
      <c r="G61" s="4" t="inlineStr">
        <is>
          <t>Implement memory retention policy with TTL and scope.</t>
        </is>
      </c>
      <c r="H61" s="4" t="inlineStr">
        <is>
          <t>Memory policy doc + code snippet.</t>
        </is>
      </c>
      <c r="I61" s="3" t="inlineStr">
        <is>
          <t>High</t>
        </is>
      </c>
      <c r="J61" s="3" t="inlineStr">
        <is>
          <t>Hard</t>
        </is>
      </c>
      <c r="K61" s="3" t="n">
        <v>3</v>
      </c>
      <c r="L61" s="3" t="inlineStr">
        <is>
          <t>Not Started</t>
        </is>
      </c>
      <c r="M61" s="3" t="n">
        <v>0</v>
      </c>
      <c r="N61" s="3" t="inlineStr"/>
      <c r="O61" s="3" t="inlineStr">
        <is>
          <t>2026-06-16</t>
        </is>
      </c>
      <c r="P61" s="3" t="inlineStr"/>
      <c r="Q61" s="3" t="inlineStr"/>
      <c r="R61" s="4" t="inlineStr"/>
    </row>
    <row r="62">
      <c r="A62" s="3" t="inlineStr">
        <is>
          <t>APE-061</t>
        </is>
      </c>
      <c r="B62" s="3" t="inlineStr">
        <is>
          <t>Agentic AI Systems</t>
        </is>
      </c>
      <c r="C62" s="3" t="inlineStr">
        <is>
          <t>Agent Architecture + Control</t>
        </is>
      </c>
      <c r="D62" s="4" t="inlineStr">
        <is>
          <t>Human-in-the-loop interrupt and resume design</t>
        </is>
      </c>
      <c r="E62" s="4" t="inlineStr">
        <is>
          <t>Aligned with your LangGraph and HITL orchestration experience.</t>
        </is>
      </c>
      <c r="F62" s="4" t="inlineStr">
        <is>
          <t>Design safe checkpoints for approvals and escalations.</t>
        </is>
      </c>
      <c r="G62" s="4" t="inlineStr">
        <is>
          <t>Build interrupt node with webhook resume mechanism.</t>
        </is>
      </c>
      <c r="H62" s="4" t="inlineStr">
        <is>
          <t>Demo flow + audit log sample.</t>
        </is>
      </c>
      <c r="I62" s="3" t="inlineStr">
        <is>
          <t>High</t>
        </is>
      </c>
      <c r="J62" s="3" t="inlineStr">
        <is>
          <t>Hard</t>
        </is>
      </c>
      <c r="K62" s="3" t="n">
        <v>4</v>
      </c>
      <c r="L62" s="3" t="inlineStr">
        <is>
          <t>Not Started</t>
        </is>
      </c>
      <c r="M62" s="3" t="n">
        <v>0</v>
      </c>
      <c r="N62" s="3" t="inlineStr"/>
      <c r="O62" s="3" t="inlineStr">
        <is>
          <t>2026-06-23</t>
        </is>
      </c>
      <c r="P62" s="3" t="inlineStr"/>
      <c r="Q62" s="3" t="inlineStr"/>
      <c r="R62" s="4" t="inlineStr"/>
    </row>
    <row r="63">
      <c r="A63" s="3" t="inlineStr">
        <is>
          <t>APE-062</t>
        </is>
      </c>
      <c r="B63" s="3" t="inlineStr">
        <is>
          <t>Agentic AI Systems</t>
        </is>
      </c>
      <c r="C63" s="3" t="inlineStr">
        <is>
          <t>Agent Architecture + Control</t>
        </is>
      </c>
      <c r="D63" s="4" t="inlineStr">
        <is>
          <t>Multi-agent coordination patterns</t>
        </is>
      </c>
      <c r="E63" s="4" t="inlineStr">
        <is>
          <t>Aligned with your LangGraph and HITL orchestration experience.</t>
        </is>
      </c>
      <c r="F63" s="4" t="inlineStr">
        <is>
          <t>Use supervisor-worker or specialist teams without chaos.</t>
        </is>
      </c>
      <c r="G63" s="4" t="inlineStr">
        <is>
          <t>Implement 2-agent delegation with bounded handoff rules.</t>
        </is>
      </c>
      <c r="H63" s="4" t="inlineStr">
        <is>
          <t>Trace logs proving coordination quality.</t>
        </is>
      </c>
      <c r="I63" s="3" t="inlineStr">
        <is>
          <t>High</t>
        </is>
      </c>
      <c r="J63" s="3" t="inlineStr">
        <is>
          <t>Hard</t>
        </is>
      </c>
      <c r="K63" s="3" t="n">
        <v>4</v>
      </c>
      <c r="L63" s="3" t="inlineStr">
        <is>
          <t>Not Started</t>
        </is>
      </c>
      <c r="M63" s="3" t="n">
        <v>0</v>
      </c>
      <c r="N63" s="3" t="inlineStr"/>
      <c r="O63" s="3" t="inlineStr">
        <is>
          <t>2026-06-23</t>
        </is>
      </c>
      <c r="P63" s="3" t="inlineStr"/>
      <c r="Q63" s="3" t="inlineStr"/>
      <c r="R63" s="4" t="inlineStr"/>
    </row>
    <row r="64">
      <c r="A64" s="3" t="inlineStr">
        <is>
          <t>APE-063</t>
        </is>
      </c>
      <c r="B64" s="3" t="inlineStr">
        <is>
          <t>Agentic AI Systems</t>
        </is>
      </c>
      <c r="C64" s="3" t="inlineStr">
        <is>
          <t>Agent Architecture + Control</t>
        </is>
      </c>
      <c r="D64" s="4" t="inlineStr">
        <is>
          <t>Agent evaluation: success rate, step efficiency, safety</t>
        </is>
      </c>
      <c r="E64" s="4" t="inlineStr">
        <is>
          <t>Aligned with your LangGraph and HITL orchestration experience.</t>
        </is>
      </c>
      <c r="F64" s="4" t="inlineStr">
        <is>
          <t>Measure agent quality beyond final output quality.</t>
        </is>
      </c>
      <c r="G64" s="4" t="inlineStr">
        <is>
          <t>Define and run trajectory-level scorecard.</t>
        </is>
      </c>
      <c r="H64" s="4" t="inlineStr">
        <is>
          <t>Agent evaluation report.</t>
        </is>
      </c>
      <c r="I64" s="3" t="inlineStr">
        <is>
          <t>High</t>
        </is>
      </c>
      <c r="J64" s="3" t="inlineStr">
        <is>
          <t>Hard</t>
        </is>
      </c>
      <c r="K64" s="3" t="n">
        <v>4</v>
      </c>
      <c r="L64" s="3" t="inlineStr">
        <is>
          <t>Not Started</t>
        </is>
      </c>
      <c r="M64" s="3" t="n">
        <v>0</v>
      </c>
      <c r="N64" s="3" t="inlineStr"/>
      <c r="O64" s="3" t="inlineStr">
        <is>
          <t>2026-06-23</t>
        </is>
      </c>
      <c r="P64" s="3" t="inlineStr"/>
      <c r="Q64" s="3" t="inlineStr"/>
      <c r="R64" s="4" t="inlineStr"/>
    </row>
    <row r="65">
      <c r="A65" s="3" t="inlineStr">
        <is>
          <t>APE-064</t>
        </is>
      </c>
      <c r="B65" s="3" t="inlineStr">
        <is>
          <t>FastAPI + Backend Systems</t>
        </is>
      </c>
      <c r="C65" s="3" t="inlineStr">
        <is>
          <t>API Architecture</t>
        </is>
      </c>
      <c r="D65" s="4" t="inlineStr">
        <is>
          <t>Layered architecture for AI APIs (controller-service-repository)</t>
        </is>
      </c>
      <c r="E65" s="4" t="inlineStr">
        <is>
          <t>Reinforces your backend claims and production readiness.</t>
        </is>
      </c>
      <c r="F65" s="4" t="inlineStr">
        <is>
          <t>Keep AI logic modular and testable.</t>
        </is>
      </c>
      <c r="G65" s="4" t="inlineStr">
        <is>
          <t>Refactor one endpoint into layered design.</t>
        </is>
      </c>
      <c r="H65" s="4" t="inlineStr">
        <is>
          <t>Architecture diff and rationale.</t>
        </is>
      </c>
      <c r="I65" s="3" t="inlineStr">
        <is>
          <t>High</t>
        </is>
      </c>
      <c r="J65" s="3" t="inlineStr">
        <is>
          <t>Medium</t>
        </is>
      </c>
      <c r="K65" s="3" t="n">
        <v>3</v>
      </c>
      <c r="L65" s="3" t="inlineStr">
        <is>
          <t>Not Started</t>
        </is>
      </c>
      <c r="M65" s="3" t="n">
        <v>0</v>
      </c>
      <c r="N65" s="3" t="inlineStr"/>
      <c r="O65" s="3" t="inlineStr">
        <is>
          <t>2026-06-23</t>
        </is>
      </c>
      <c r="P65" s="3" t="inlineStr"/>
      <c r="Q65" s="3" t="inlineStr"/>
      <c r="R65" s="4" t="inlineStr"/>
    </row>
    <row r="66">
      <c r="A66" s="3" t="inlineStr">
        <is>
          <t>APE-065</t>
        </is>
      </c>
      <c r="B66" s="3" t="inlineStr">
        <is>
          <t>FastAPI + Backend Systems</t>
        </is>
      </c>
      <c r="C66" s="3" t="inlineStr">
        <is>
          <t>API Architecture</t>
        </is>
      </c>
      <c r="D66" s="4" t="inlineStr">
        <is>
          <t>Async endpoints and streaming responses (SSE/WebSocket)</t>
        </is>
      </c>
      <c r="E66" s="4" t="inlineStr">
        <is>
          <t>Reinforces your backend claims and production readiness.</t>
        </is>
      </c>
      <c r="F66" s="4" t="inlineStr">
        <is>
          <t>Serve long-running model outputs progressively.</t>
        </is>
      </c>
      <c r="G66" s="4" t="inlineStr">
        <is>
          <t>Implement token streaming endpoint with cancellation.</t>
        </is>
      </c>
      <c r="H66" s="4" t="inlineStr">
        <is>
          <t>Working endpoint + client test.</t>
        </is>
      </c>
      <c r="I66" s="3" t="inlineStr">
        <is>
          <t>High</t>
        </is>
      </c>
      <c r="J66" s="3" t="inlineStr">
        <is>
          <t>Medium</t>
        </is>
      </c>
      <c r="K66" s="3" t="n">
        <v>4</v>
      </c>
      <c r="L66" s="3" t="inlineStr">
        <is>
          <t>Not Started</t>
        </is>
      </c>
      <c r="M66" s="3" t="n">
        <v>0</v>
      </c>
      <c r="N66" s="3" t="inlineStr"/>
      <c r="O66" s="3" t="inlineStr">
        <is>
          <t>2026-06-23</t>
        </is>
      </c>
      <c r="P66" s="3" t="inlineStr"/>
      <c r="Q66" s="3" t="inlineStr"/>
      <c r="R66" s="4" t="inlineStr"/>
    </row>
    <row r="67">
      <c r="A67" s="3" t="inlineStr">
        <is>
          <t>APE-066</t>
        </is>
      </c>
      <c r="B67" s="3" t="inlineStr">
        <is>
          <t>FastAPI + Backend Systems</t>
        </is>
      </c>
      <c r="C67" s="3" t="inlineStr">
        <is>
          <t>API Architecture</t>
        </is>
      </c>
      <c r="D67" s="4" t="inlineStr">
        <is>
          <t>Request validation, sanitization, and schema contracts</t>
        </is>
      </c>
      <c r="E67" s="4" t="inlineStr">
        <is>
          <t>Reinforces your backend claims and production readiness.</t>
        </is>
      </c>
      <c r="F67" s="4" t="inlineStr">
        <is>
          <t>Prevent invalid payloads and injection vectors.</t>
        </is>
      </c>
      <c r="G67" s="4" t="inlineStr">
        <is>
          <t>Add strict request models and field-level validators.</t>
        </is>
      </c>
      <c r="H67" s="4" t="inlineStr">
        <is>
          <t>Validation error test cases.</t>
        </is>
      </c>
      <c r="I67" s="3" t="inlineStr">
        <is>
          <t>High</t>
        </is>
      </c>
      <c r="J67" s="3" t="inlineStr">
        <is>
          <t>Medium</t>
        </is>
      </c>
      <c r="K67" s="3" t="n">
        <v>3</v>
      </c>
      <c r="L67" s="3" t="inlineStr">
        <is>
          <t>Not Started</t>
        </is>
      </c>
      <c r="M67" s="3" t="n">
        <v>0</v>
      </c>
      <c r="N67" s="3" t="inlineStr"/>
      <c r="O67" s="3" t="inlineStr">
        <is>
          <t>2026-06-30</t>
        </is>
      </c>
      <c r="P67" s="3" t="inlineStr"/>
      <c r="Q67" s="3" t="inlineStr"/>
      <c r="R67" s="4" t="inlineStr"/>
    </row>
    <row r="68">
      <c r="A68" s="3" t="inlineStr">
        <is>
          <t>APE-067</t>
        </is>
      </c>
      <c r="B68" s="3" t="inlineStr">
        <is>
          <t>FastAPI + Backend Systems</t>
        </is>
      </c>
      <c r="C68" s="3" t="inlineStr">
        <is>
          <t>API Architecture</t>
        </is>
      </c>
      <c r="D68" s="4" t="inlineStr">
        <is>
          <t>AuthN/AuthZ for AI APIs (JWT, RBAC)</t>
        </is>
      </c>
      <c r="E68" s="4" t="inlineStr">
        <is>
          <t>Reinforces your backend claims and production readiness.</t>
        </is>
      </c>
      <c r="F68" s="4" t="inlineStr">
        <is>
          <t>Protect sensitive enterprise data by role.</t>
        </is>
      </c>
      <c r="G68" s="4" t="inlineStr">
        <is>
          <t>Implement role-based access check for retrieval scopes.</t>
        </is>
      </c>
      <c r="H68" s="4" t="inlineStr">
        <is>
          <t>Security test matrix.</t>
        </is>
      </c>
      <c r="I68" s="3" t="inlineStr">
        <is>
          <t>High</t>
        </is>
      </c>
      <c r="J68" s="3" t="inlineStr">
        <is>
          <t>Medium</t>
        </is>
      </c>
      <c r="K68" s="3" t="n">
        <v>4</v>
      </c>
      <c r="L68" s="3" t="inlineStr">
        <is>
          <t>Not Started</t>
        </is>
      </c>
      <c r="M68" s="3" t="n">
        <v>0</v>
      </c>
      <c r="N68" s="3" t="inlineStr"/>
      <c r="O68" s="3" t="inlineStr">
        <is>
          <t>2026-06-30</t>
        </is>
      </c>
      <c r="P68" s="3" t="inlineStr"/>
      <c r="Q68" s="3" t="inlineStr"/>
      <c r="R68" s="4" t="inlineStr"/>
    </row>
    <row r="69">
      <c r="A69" s="3" t="inlineStr">
        <is>
          <t>APE-068</t>
        </is>
      </c>
      <c r="B69" s="3" t="inlineStr">
        <is>
          <t>FastAPI + Backend Systems</t>
        </is>
      </c>
      <c r="C69" s="3" t="inlineStr">
        <is>
          <t>API Architecture</t>
        </is>
      </c>
      <c r="D69" s="4" t="inlineStr">
        <is>
          <t>Rate limiting and quota enforcement</t>
        </is>
      </c>
      <c r="E69" s="4" t="inlineStr">
        <is>
          <t>Reinforces your backend claims and production readiness.</t>
        </is>
      </c>
      <c r="F69" s="4" t="inlineStr">
        <is>
          <t>Control model spend and protect service reliability.</t>
        </is>
      </c>
      <c r="G69" s="4" t="inlineStr">
        <is>
          <t>Add per-user and per-tenant rate limits.</t>
        </is>
      </c>
      <c r="H69" s="4" t="inlineStr">
        <is>
          <t>Load test and quota policy doc.</t>
        </is>
      </c>
      <c r="I69" s="3" t="inlineStr">
        <is>
          <t>High</t>
        </is>
      </c>
      <c r="J69" s="3" t="inlineStr">
        <is>
          <t>Medium</t>
        </is>
      </c>
      <c r="K69" s="3" t="n">
        <v>3</v>
      </c>
      <c r="L69" s="3" t="inlineStr">
        <is>
          <t>Not Started</t>
        </is>
      </c>
      <c r="M69" s="3" t="n">
        <v>0</v>
      </c>
      <c r="N69" s="3" t="inlineStr"/>
      <c r="O69" s="3" t="inlineStr">
        <is>
          <t>2026-06-30</t>
        </is>
      </c>
      <c r="P69" s="3" t="inlineStr"/>
      <c r="Q69" s="3" t="inlineStr"/>
      <c r="R69" s="4" t="inlineStr"/>
    </row>
    <row r="70">
      <c r="A70" s="3" t="inlineStr">
        <is>
          <t>APE-069</t>
        </is>
      </c>
      <c r="B70" s="3" t="inlineStr">
        <is>
          <t>FastAPI + Backend Systems</t>
        </is>
      </c>
      <c r="C70" s="3" t="inlineStr">
        <is>
          <t>API Architecture</t>
        </is>
      </c>
      <c r="D70" s="4" t="inlineStr">
        <is>
          <t>Background job orchestration for ingestion</t>
        </is>
      </c>
      <c r="E70" s="4" t="inlineStr">
        <is>
          <t>Reinforces your backend claims and production readiness.</t>
        </is>
      </c>
      <c r="F70" s="4" t="inlineStr">
        <is>
          <t>Handle heavy parsing/indexing outside user request latency budget.</t>
        </is>
      </c>
      <c r="G70" s="4" t="inlineStr">
        <is>
          <t>Create queue-backed ingestion endpoint and status poll API.</t>
        </is>
      </c>
      <c r="H70" s="4" t="inlineStr">
        <is>
          <t>Ingestion workflow demo.</t>
        </is>
      </c>
      <c r="I70" s="3" t="inlineStr">
        <is>
          <t>High</t>
        </is>
      </c>
      <c r="J70" s="3" t="inlineStr">
        <is>
          <t>Medium</t>
        </is>
      </c>
      <c r="K70" s="3" t="n">
        <v>4</v>
      </c>
      <c r="L70" s="3" t="inlineStr">
        <is>
          <t>Not Started</t>
        </is>
      </c>
      <c r="M70" s="3" t="n">
        <v>0</v>
      </c>
      <c r="N70" s="3" t="inlineStr"/>
      <c r="O70" s="3" t="inlineStr">
        <is>
          <t>2026-06-30</t>
        </is>
      </c>
      <c r="P70" s="3" t="inlineStr"/>
      <c r="Q70" s="3" t="inlineStr"/>
      <c r="R70" s="4" t="inlineStr"/>
    </row>
    <row r="71">
      <c r="A71" s="3" t="inlineStr">
        <is>
          <t>APE-070</t>
        </is>
      </c>
      <c r="B71" s="3" t="inlineStr">
        <is>
          <t>FastAPI + Backend Systems</t>
        </is>
      </c>
      <c r="C71" s="3" t="inlineStr">
        <is>
          <t>API Architecture</t>
        </is>
      </c>
      <c r="D71" s="4" t="inlineStr">
        <is>
          <t>API observability middleware</t>
        </is>
      </c>
      <c r="E71" s="4" t="inlineStr">
        <is>
          <t>Reinforces your backend claims and production readiness.</t>
        </is>
      </c>
      <c r="F71" s="4" t="inlineStr">
        <is>
          <t>Track latency, errors, and token cost per endpoint.</t>
        </is>
      </c>
      <c r="G71" s="4" t="inlineStr">
        <is>
          <t>Add middleware for structured metrics and traces.</t>
        </is>
      </c>
      <c r="H71" s="4" t="inlineStr">
        <is>
          <t>Dashboard screenshot or metric export.</t>
        </is>
      </c>
      <c r="I71" s="3" t="inlineStr">
        <is>
          <t>High</t>
        </is>
      </c>
      <c r="J71" s="3" t="inlineStr">
        <is>
          <t>Medium</t>
        </is>
      </c>
      <c r="K71" s="3" t="n">
        <v>3</v>
      </c>
      <c r="L71" s="3" t="inlineStr">
        <is>
          <t>Not Started</t>
        </is>
      </c>
      <c r="M71" s="3" t="n">
        <v>0</v>
      </c>
      <c r="N71" s="3" t="inlineStr"/>
      <c r="O71" s="3" t="inlineStr">
        <is>
          <t>2026-06-30</t>
        </is>
      </c>
      <c r="P71" s="3" t="inlineStr"/>
      <c r="Q71" s="3" t="inlineStr"/>
      <c r="R71" s="4" t="inlineStr"/>
    </row>
    <row r="72">
      <c r="A72" s="3" t="inlineStr">
        <is>
          <t>APE-071</t>
        </is>
      </c>
      <c r="B72" s="3" t="inlineStr">
        <is>
          <t>FastAPI + Backend Systems</t>
        </is>
      </c>
      <c r="C72" s="3" t="inlineStr">
        <is>
          <t>API Architecture</t>
        </is>
      </c>
      <c r="D72" s="4" t="inlineStr">
        <is>
          <t>FastAPI testing: integration, contract, load</t>
        </is>
      </c>
      <c r="E72" s="4" t="inlineStr">
        <is>
          <t>Reinforces your backend claims and production readiness.</t>
        </is>
      </c>
      <c r="F72" s="4" t="inlineStr">
        <is>
          <t>Ensure AI APIs remain stable across prompt/model updates.</t>
        </is>
      </c>
      <c r="G72" s="4" t="inlineStr">
        <is>
          <t>Build test pyramid for one AI feature endpoint.</t>
        </is>
      </c>
      <c r="H72" s="4" t="inlineStr">
        <is>
          <t>Test report with pass/fail history.</t>
        </is>
      </c>
      <c r="I72" s="3" t="inlineStr">
        <is>
          <t>High</t>
        </is>
      </c>
      <c r="J72" s="3" t="inlineStr">
        <is>
          <t>Medium</t>
        </is>
      </c>
      <c r="K72" s="3" t="n">
        <v>4</v>
      </c>
      <c r="L72" s="3" t="inlineStr">
        <is>
          <t>Not Started</t>
        </is>
      </c>
      <c r="M72" s="3" t="n">
        <v>0</v>
      </c>
      <c r="N72" s="3" t="inlineStr"/>
      <c r="O72" s="3" t="inlineStr">
        <is>
          <t>2026-07-07</t>
        </is>
      </c>
      <c r="P72" s="3" t="inlineStr"/>
      <c r="Q72" s="3" t="inlineStr"/>
      <c r="R72" s="4" t="inlineStr"/>
    </row>
    <row r="73">
      <c r="A73" s="3" t="inlineStr">
        <is>
          <t>APE-072</t>
        </is>
      </c>
      <c r="B73" s="3" t="inlineStr">
        <is>
          <t>Data Architecture for AI Products</t>
        </is>
      </c>
      <c r="C73" s="3" t="inlineStr">
        <is>
          <t>Storage Design Decisions</t>
        </is>
      </c>
      <c r="D73" s="4" t="inlineStr">
        <is>
          <t>RDBMS vs Vector DB vs Graph DB: capability matrix</t>
        </is>
      </c>
      <c r="E73" s="4" t="inlineStr">
        <is>
          <t>Fits your PostgreSQL + MongoDB + Neo4j + vector stack exposure.</t>
        </is>
      </c>
      <c r="F73" s="4" t="inlineStr">
        <is>
          <t>Pick the right store per query and consistency needs.</t>
        </is>
      </c>
      <c r="G73" s="4" t="inlineStr">
        <is>
          <t>Map 8 product use cases to storage choices.</t>
        </is>
      </c>
      <c r="H73" s="4" t="inlineStr">
        <is>
          <t>Storage decision matrix.</t>
        </is>
      </c>
      <c r="I73" s="3" t="inlineStr">
        <is>
          <t>High</t>
        </is>
      </c>
      <c r="J73" s="3" t="inlineStr">
        <is>
          <t>Medium</t>
        </is>
      </c>
      <c r="K73" s="3" t="n">
        <v>3</v>
      </c>
      <c r="L73" s="3" t="inlineStr">
        <is>
          <t>Not Started</t>
        </is>
      </c>
      <c r="M73" s="3" t="n">
        <v>0</v>
      </c>
      <c r="N73" s="3" t="inlineStr"/>
      <c r="O73" s="3" t="inlineStr">
        <is>
          <t>2026-07-07</t>
        </is>
      </c>
      <c r="P73" s="3" t="inlineStr"/>
      <c r="Q73" s="3" t="inlineStr"/>
      <c r="R73" s="4" t="inlineStr"/>
    </row>
    <row r="74">
      <c r="A74" s="3" t="inlineStr">
        <is>
          <t>APE-073</t>
        </is>
      </c>
      <c r="B74" s="3" t="inlineStr">
        <is>
          <t>Data Architecture for AI Products</t>
        </is>
      </c>
      <c r="C74" s="3" t="inlineStr">
        <is>
          <t>Storage Design Decisions</t>
        </is>
      </c>
      <c r="D74" s="4" t="inlineStr">
        <is>
          <t>Hybrid persistence patterns for AI systems</t>
        </is>
      </c>
      <c r="E74" s="4" t="inlineStr">
        <is>
          <t>Fits your PostgreSQL + MongoDB + Neo4j + vector stack exposure.</t>
        </is>
      </c>
      <c r="F74" s="4" t="inlineStr">
        <is>
          <t>Coordinate relational metadata and vector retrieval cleanly.</t>
        </is>
      </c>
      <c r="G74" s="4" t="inlineStr">
        <is>
          <t>Design schema linking documents, chunks, embeddings, and runs.</t>
        </is>
      </c>
      <c r="H74" s="4" t="inlineStr">
        <is>
          <t>ER diagram + index strategy.</t>
        </is>
      </c>
      <c r="I74" s="3" t="inlineStr">
        <is>
          <t>High</t>
        </is>
      </c>
      <c r="J74" s="3" t="inlineStr">
        <is>
          <t>Medium</t>
        </is>
      </c>
      <c r="K74" s="3" t="n">
        <v>4</v>
      </c>
      <c r="L74" s="3" t="inlineStr">
        <is>
          <t>Not Started</t>
        </is>
      </c>
      <c r="M74" s="3" t="n">
        <v>0</v>
      </c>
      <c r="N74" s="3" t="inlineStr"/>
      <c r="O74" s="3" t="inlineStr">
        <is>
          <t>2026-07-07</t>
        </is>
      </c>
      <c r="P74" s="3" t="inlineStr"/>
      <c r="Q74" s="3" t="inlineStr"/>
      <c r="R74" s="4" t="inlineStr"/>
    </row>
    <row r="75">
      <c r="A75" s="3" t="inlineStr">
        <is>
          <t>APE-074</t>
        </is>
      </c>
      <c r="B75" s="3" t="inlineStr">
        <is>
          <t>Data Architecture for AI Products</t>
        </is>
      </c>
      <c r="C75" s="3" t="inlineStr">
        <is>
          <t>Storage Design Decisions</t>
        </is>
      </c>
      <c r="D75" s="4" t="inlineStr">
        <is>
          <t>Event-driven ingestion and incremental sync</t>
        </is>
      </c>
      <c r="E75" s="4" t="inlineStr">
        <is>
          <t>Fits your PostgreSQL + MongoDB + Neo4j + vector stack exposure.</t>
        </is>
      </c>
      <c r="F75" s="4" t="inlineStr">
        <is>
          <t>Keep indexes fresh with low operational risk.</t>
        </is>
      </c>
      <c r="G75" s="4" t="inlineStr">
        <is>
          <t>Implement watermark-based incremental index updates.</t>
        </is>
      </c>
      <c r="H75" s="4" t="inlineStr">
        <is>
          <t>Ingestion state model and replay logic.</t>
        </is>
      </c>
      <c r="I75" s="3" t="inlineStr">
        <is>
          <t>High</t>
        </is>
      </c>
      <c r="J75" s="3" t="inlineStr">
        <is>
          <t>Medium</t>
        </is>
      </c>
      <c r="K75" s="3" t="n">
        <v>4</v>
      </c>
      <c r="L75" s="3" t="inlineStr">
        <is>
          <t>Not Started</t>
        </is>
      </c>
      <c r="M75" s="3" t="n">
        <v>0</v>
      </c>
      <c r="N75" s="3" t="inlineStr"/>
      <c r="O75" s="3" t="inlineStr">
        <is>
          <t>2026-07-07</t>
        </is>
      </c>
      <c r="P75" s="3" t="inlineStr"/>
      <c r="Q75" s="3" t="inlineStr"/>
      <c r="R75" s="4" t="inlineStr"/>
    </row>
    <row r="76">
      <c r="A76" s="3" t="inlineStr">
        <is>
          <t>APE-075</t>
        </is>
      </c>
      <c r="B76" s="3" t="inlineStr">
        <is>
          <t>Data Architecture for AI Products</t>
        </is>
      </c>
      <c r="C76" s="3" t="inlineStr">
        <is>
          <t>Storage Design Decisions</t>
        </is>
      </c>
      <c r="D76" s="4" t="inlineStr">
        <is>
          <t>Deduplication and fingerprinting strategies</t>
        </is>
      </c>
      <c r="E76" s="4" t="inlineStr">
        <is>
          <t>Fits your PostgreSQL + MongoDB + Neo4j + vector stack exposure.</t>
        </is>
      </c>
      <c r="F76" s="4" t="inlineStr">
        <is>
          <t>Avoid duplicate chunks and noisy retrieval results.</t>
        </is>
      </c>
      <c r="G76" s="4" t="inlineStr">
        <is>
          <t>Implement content hash plus near-duplicate detection.</t>
        </is>
      </c>
      <c r="H76" s="4" t="inlineStr">
        <is>
          <t>Dedup benchmark report.</t>
        </is>
      </c>
      <c r="I76" s="3" t="inlineStr">
        <is>
          <t>High</t>
        </is>
      </c>
      <c r="J76" s="3" t="inlineStr">
        <is>
          <t>Medium</t>
        </is>
      </c>
      <c r="K76" s="3" t="n">
        <v>3</v>
      </c>
      <c r="L76" s="3" t="inlineStr">
        <is>
          <t>Not Started</t>
        </is>
      </c>
      <c r="M76" s="3" t="n">
        <v>0</v>
      </c>
      <c r="N76" s="3" t="inlineStr"/>
      <c r="O76" s="3" t="inlineStr">
        <is>
          <t>2026-07-07</t>
        </is>
      </c>
      <c r="P76" s="3" t="inlineStr"/>
      <c r="Q76" s="3" t="inlineStr"/>
      <c r="R76" s="4" t="inlineStr"/>
    </row>
    <row r="77">
      <c r="A77" s="3" t="inlineStr">
        <is>
          <t>APE-076</t>
        </is>
      </c>
      <c r="B77" s="3" t="inlineStr">
        <is>
          <t>Data Architecture for AI Products</t>
        </is>
      </c>
      <c r="C77" s="3" t="inlineStr">
        <is>
          <t>Storage Design Decisions</t>
        </is>
      </c>
      <c r="D77" s="4" t="inlineStr">
        <is>
          <t>Data lineage and provenance tracking</t>
        </is>
      </c>
      <c r="E77" s="4" t="inlineStr">
        <is>
          <t>Fits your PostgreSQL + MongoDB + Neo4j + vector stack exposure.</t>
        </is>
      </c>
      <c r="F77" s="4" t="inlineStr">
        <is>
          <t>Trace every answer back to source version.</t>
        </is>
      </c>
      <c r="G77" s="4" t="inlineStr">
        <is>
          <t>Attach source version IDs through retrieval and response layers.</t>
        </is>
      </c>
      <c r="H77" s="4" t="inlineStr">
        <is>
          <t>Lineage trace example.</t>
        </is>
      </c>
      <c r="I77" s="3" t="inlineStr">
        <is>
          <t>High</t>
        </is>
      </c>
      <c r="J77" s="3" t="inlineStr">
        <is>
          <t>Medium</t>
        </is>
      </c>
      <c r="K77" s="3" t="n">
        <v>3</v>
      </c>
      <c r="L77" s="3" t="inlineStr">
        <is>
          <t>Not Started</t>
        </is>
      </c>
      <c r="M77" s="3" t="n">
        <v>0</v>
      </c>
      <c r="N77" s="3" t="inlineStr"/>
      <c r="O77" s="3" t="inlineStr">
        <is>
          <t>2026-07-14</t>
        </is>
      </c>
      <c r="P77" s="3" t="inlineStr"/>
      <c r="Q77" s="3" t="inlineStr"/>
      <c r="R77" s="4" t="inlineStr"/>
    </row>
    <row r="78">
      <c r="A78" s="3" t="inlineStr">
        <is>
          <t>APE-077</t>
        </is>
      </c>
      <c r="B78" s="3" t="inlineStr">
        <is>
          <t>Data Architecture for AI Products</t>
        </is>
      </c>
      <c r="C78" s="3" t="inlineStr">
        <is>
          <t>Storage Design Decisions</t>
        </is>
      </c>
      <c r="D78" s="4" t="inlineStr">
        <is>
          <t>Schema migrations for embedding model changes</t>
        </is>
      </c>
      <c r="E78" s="4" t="inlineStr">
        <is>
          <t>Fits your PostgreSQL + MongoDB + Neo4j + vector stack exposure.</t>
        </is>
      </c>
      <c r="F78" s="4" t="inlineStr">
        <is>
          <t>Handle re-embedding without downtime.</t>
        </is>
      </c>
      <c r="G78" s="4" t="inlineStr">
        <is>
          <t>Design dual-index migration and cutover strategy.</t>
        </is>
      </c>
      <c r="H78" s="4" t="inlineStr">
        <is>
          <t>Migration runbook.</t>
        </is>
      </c>
      <c r="I78" s="3" t="inlineStr">
        <is>
          <t>High</t>
        </is>
      </c>
      <c r="J78" s="3" t="inlineStr">
        <is>
          <t>Medium</t>
        </is>
      </c>
      <c r="K78" s="3" t="n">
        <v>4</v>
      </c>
      <c r="L78" s="3" t="inlineStr">
        <is>
          <t>Not Started</t>
        </is>
      </c>
      <c r="M78" s="3" t="n">
        <v>0</v>
      </c>
      <c r="N78" s="3" t="inlineStr"/>
      <c r="O78" s="3" t="inlineStr">
        <is>
          <t>2026-07-14</t>
        </is>
      </c>
      <c r="P78" s="3" t="inlineStr"/>
      <c r="Q78" s="3" t="inlineStr"/>
      <c r="R78" s="4" t="inlineStr"/>
    </row>
    <row r="79">
      <c r="A79" s="3" t="inlineStr">
        <is>
          <t>APE-078</t>
        </is>
      </c>
      <c r="B79" s="3" t="inlineStr">
        <is>
          <t>Safety + Guardrails</t>
        </is>
      </c>
      <c r="C79" s="3" t="inlineStr">
        <is>
          <t>Risk Control</t>
        </is>
      </c>
      <c r="D79" s="4" t="inlineStr">
        <is>
          <t>Threat modeling for LLM products</t>
        </is>
      </c>
      <c r="E79" s="4" t="inlineStr">
        <is>
          <t>Directly relevant to your prompt injection and leakage prevention work.</t>
        </is>
      </c>
      <c r="F79" s="4" t="inlineStr">
        <is>
          <t>Enumerate abuse cases across input, retrieval, tool, and output layers.</t>
        </is>
      </c>
      <c r="G79" s="4" t="inlineStr">
        <is>
          <t>Create threat model for one existing project architecture.</t>
        </is>
      </c>
      <c r="H79" s="4" t="inlineStr">
        <is>
          <t>Threat model document.</t>
        </is>
      </c>
      <c r="I79" s="3" t="inlineStr">
        <is>
          <t>High</t>
        </is>
      </c>
      <c r="J79" s="3" t="inlineStr">
        <is>
          <t>Hard</t>
        </is>
      </c>
      <c r="K79" s="3" t="n">
        <v>4</v>
      </c>
      <c r="L79" s="3" t="inlineStr">
        <is>
          <t>Not Started</t>
        </is>
      </c>
      <c r="M79" s="3" t="n">
        <v>0</v>
      </c>
      <c r="N79" s="3" t="inlineStr"/>
      <c r="O79" s="3" t="inlineStr">
        <is>
          <t>2026-07-14</t>
        </is>
      </c>
      <c r="P79" s="3" t="inlineStr"/>
      <c r="Q79" s="3" t="inlineStr"/>
      <c r="R79" s="4" t="inlineStr"/>
    </row>
    <row r="80">
      <c r="A80" s="3" t="inlineStr">
        <is>
          <t>APE-079</t>
        </is>
      </c>
      <c r="B80" s="3" t="inlineStr">
        <is>
          <t>Safety + Guardrails</t>
        </is>
      </c>
      <c r="C80" s="3" t="inlineStr">
        <is>
          <t>Risk Control</t>
        </is>
      </c>
      <c r="D80" s="4" t="inlineStr">
        <is>
          <t>Prompt injection and jailbreak defense layers</t>
        </is>
      </c>
      <c r="E80" s="4" t="inlineStr">
        <is>
          <t>Directly relevant to your prompt injection and leakage prevention work.</t>
        </is>
      </c>
      <c r="F80" s="4" t="inlineStr">
        <is>
          <t>Build layered controls instead of a single filter.</t>
        </is>
      </c>
      <c r="G80" s="4" t="inlineStr">
        <is>
          <t>Implement prompt sanitizer + policy checker + output guard.</t>
        </is>
      </c>
      <c r="H80" s="4" t="inlineStr">
        <is>
          <t>Red-team test report.</t>
        </is>
      </c>
      <c r="I80" s="3" t="inlineStr">
        <is>
          <t>High</t>
        </is>
      </c>
      <c r="J80" s="3" t="inlineStr">
        <is>
          <t>Hard</t>
        </is>
      </c>
      <c r="K80" s="3" t="n">
        <v>4</v>
      </c>
      <c r="L80" s="3" t="inlineStr">
        <is>
          <t>Not Started</t>
        </is>
      </c>
      <c r="M80" s="3" t="n">
        <v>0</v>
      </c>
      <c r="N80" s="3" t="inlineStr"/>
      <c r="O80" s="3" t="inlineStr">
        <is>
          <t>2026-07-14</t>
        </is>
      </c>
      <c r="P80" s="3" t="inlineStr"/>
      <c r="Q80" s="3" t="inlineStr"/>
      <c r="R80" s="4" t="inlineStr"/>
    </row>
    <row r="81">
      <c r="A81" s="3" t="inlineStr">
        <is>
          <t>APE-080</t>
        </is>
      </c>
      <c r="B81" s="3" t="inlineStr">
        <is>
          <t>Safety + Guardrails</t>
        </is>
      </c>
      <c r="C81" s="3" t="inlineStr">
        <is>
          <t>Risk Control</t>
        </is>
      </c>
      <c r="D81" s="4" t="inlineStr">
        <is>
          <t>PII and sensitive data redaction</t>
        </is>
      </c>
      <c r="E81" s="4" t="inlineStr">
        <is>
          <t>Directly relevant to your prompt injection and leakage prevention work.</t>
        </is>
      </c>
      <c r="F81" s="4" t="inlineStr">
        <is>
          <t>Prevent leakage of internal data in responses.</t>
        </is>
      </c>
      <c r="G81" s="4" t="inlineStr">
        <is>
          <t>Add PII detector and redact before model call and before response.</t>
        </is>
      </c>
      <c r="H81" s="4" t="inlineStr">
        <is>
          <t>Compliance check logs.</t>
        </is>
      </c>
      <c r="I81" s="3" t="inlineStr">
        <is>
          <t>High</t>
        </is>
      </c>
      <c r="J81" s="3" t="inlineStr">
        <is>
          <t>Hard</t>
        </is>
      </c>
      <c r="K81" s="3" t="n">
        <v>3</v>
      </c>
      <c r="L81" s="3" t="inlineStr">
        <is>
          <t>Not Started</t>
        </is>
      </c>
      <c r="M81" s="3" t="n">
        <v>0</v>
      </c>
      <c r="N81" s="3" t="inlineStr"/>
      <c r="O81" s="3" t="inlineStr">
        <is>
          <t>2026-07-14</t>
        </is>
      </c>
      <c r="P81" s="3" t="inlineStr"/>
      <c r="Q81" s="3" t="inlineStr"/>
      <c r="R81" s="4" t="inlineStr"/>
    </row>
    <row r="82">
      <c r="A82" s="3" t="inlineStr">
        <is>
          <t>APE-081</t>
        </is>
      </c>
      <c r="B82" s="3" t="inlineStr">
        <is>
          <t>Safety + Guardrails</t>
        </is>
      </c>
      <c r="C82" s="3" t="inlineStr">
        <is>
          <t>Risk Control</t>
        </is>
      </c>
      <c r="D82" s="4" t="inlineStr">
        <is>
          <t>Tool permissioning and least privilege</t>
        </is>
      </c>
      <c r="E82" s="4" t="inlineStr">
        <is>
          <t>Directly relevant to your prompt injection and leakage prevention work.</t>
        </is>
      </c>
      <c r="F82" s="4" t="inlineStr">
        <is>
          <t>Constrain agent actions to approved scopes.</t>
        </is>
      </c>
      <c r="G82" s="4" t="inlineStr">
        <is>
          <t>Implement scoped credentials and tool allow-lists.</t>
        </is>
      </c>
      <c r="H82" s="4" t="inlineStr">
        <is>
          <t>Access control policy and tests.</t>
        </is>
      </c>
      <c r="I82" s="3" t="inlineStr">
        <is>
          <t>High</t>
        </is>
      </c>
      <c r="J82" s="3" t="inlineStr">
        <is>
          <t>Hard</t>
        </is>
      </c>
      <c r="K82" s="3" t="n">
        <v>3</v>
      </c>
      <c r="L82" s="3" t="inlineStr">
        <is>
          <t>Not Started</t>
        </is>
      </c>
      <c r="M82" s="3" t="n">
        <v>0</v>
      </c>
      <c r="N82" s="3" t="inlineStr"/>
      <c r="O82" s="3" t="inlineStr">
        <is>
          <t>2026-07-21</t>
        </is>
      </c>
      <c r="P82" s="3" t="inlineStr"/>
      <c r="Q82" s="3" t="inlineStr"/>
      <c r="R82" s="4" t="inlineStr"/>
    </row>
    <row r="83">
      <c r="A83" s="3" t="inlineStr">
        <is>
          <t>APE-082</t>
        </is>
      </c>
      <c r="B83" s="3" t="inlineStr">
        <is>
          <t>Safety + Guardrails</t>
        </is>
      </c>
      <c r="C83" s="3" t="inlineStr">
        <is>
          <t>Risk Control</t>
        </is>
      </c>
      <c r="D83" s="4" t="inlineStr">
        <is>
          <t>Abuse monitoring and escalation workflow</t>
        </is>
      </c>
      <c r="E83" s="4" t="inlineStr">
        <is>
          <t>Directly relevant to your prompt injection and leakage prevention work.</t>
        </is>
      </c>
      <c r="F83" s="4" t="inlineStr">
        <is>
          <t>Detect repeated unsafe attempts and trigger controls.</t>
        </is>
      </c>
      <c r="G83" s="4" t="inlineStr">
        <is>
          <t>Create abuse signal dashboard and escalation playbook.</t>
        </is>
      </c>
      <c r="H83" s="4" t="inlineStr">
        <is>
          <t>Incident handling SOP.</t>
        </is>
      </c>
      <c r="I83" s="3" t="inlineStr">
        <is>
          <t>High</t>
        </is>
      </c>
      <c r="J83" s="3" t="inlineStr">
        <is>
          <t>Hard</t>
        </is>
      </c>
      <c r="K83" s="3" t="n">
        <v>3</v>
      </c>
      <c r="L83" s="3" t="inlineStr">
        <is>
          <t>Not Started</t>
        </is>
      </c>
      <c r="M83" s="3" t="n">
        <v>0</v>
      </c>
      <c r="N83" s="3" t="inlineStr"/>
      <c r="O83" s="3" t="inlineStr">
        <is>
          <t>2026-07-21</t>
        </is>
      </c>
      <c r="P83" s="3" t="inlineStr"/>
      <c r="Q83" s="3" t="inlineStr"/>
      <c r="R83" s="4" t="inlineStr"/>
    </row>
    <row r="84">
      <c r="A84" s="3" t="inlineStr">
        <is>
          <t>APE-083</t>
        </is>
      </c>
      <c r="B84" s="3" t="inlineStr">
        <is>
          <t>Safety + Guardrails</t>
        </is>
      </c>
      <c r="C84" s="3" t="inlineStr">
        <is>
          <t>Risk Control</t>
        </is>
      </c>
      <c r="D84" s="4" t="inlineStr">
        <is>
          <t>Auditability and decision trace logging</t>
        </is>
      </c>
      <c r="E84" s="4" t="inlineStr">
        <is>
          <t>Directly relevant to your prompt injection and leakage prevention work.</t>
        </is>
      </c>
      <c r="F84" s="4" t="inlineStr">
        <is>
          <t>Provide explainability for enterprise stakeholders.</t>
        </is>
      </c>
      <c r="G84" s="4" t="inlineStr">
        <is>
          <t>Log prompts, retrieval IDs, tool calls, and policy decisions.</t>
        </is>
      </c>
      <c r="H84" s="4" t="inlineStr">
        <is>
          <t>Audit trail sample for one request.</t>
        </is>
      </c>
      <c r="I84" s="3" t="inlineStr">
        <is>
          <t>High</t>
        </is>
      </c>
      <c r="J84" s="3" t="inlineStr">
        <is>
          <t>Hard</t>
        </is>
      </c>
      <c r="K84" s="3" t="n">
        <v>3</v>
      </c>
      <c r="L84" s="3" t="inlineStr">
        <is>
          <t>Not Started</t>
        </is>
      </c>
      <c r="M84" s="3" t="n">
        <v>0</v>
      </c>
      <c r="N84" s="3" t="inlineStr"/>
      <c r="O84" s="3" t="inlineStr">
        <is>
          <t>2026-07-21</t>
        </is>
      </c>
      <c r="P84" s="3" t="inlineStr"/>
      <c r="Q84" s="3" t="inlineStr"/>
      <c r="R84" s="4" t="inlineStr"/>
    </row>
    <row r="85">
      <c r="A85" s="3" t="inlineStr">
        <is>
          <t>APE-084</t>
        </is>
      </c>
      <c r="B85" s="3" t="inlineStr">
        <is>
          <t>Evaluation + Observability</t>
        </is>
      </c>
      <c r="C85" s="3" t="inlineStr">
        <is>
          <t>Quality Engineering</t>
        </is>
      </c>
      <c r="D85" s="4" t="inlineStr">
        <is>
          <t>Define eval datasets and golden traces</t>
        </is>
      </c>
      <c r="E85" s="4" t="inlineStr">
        <is>
          <t>Builds on your LangSmith and token governance background.</t>
        </is>
      </c>
      <c r="F85" s="4" t="inlineStr">
        <is>
          <t>Create representative benchmark sets by use case.</t>
        </is>
      </c>
      <c r="G85" s="4" t="inlineStr">
        <is>
          <t>Build eval set of 100 labeled enterprise queries.</t>
        </is>
      </c>
      <c r="H85" s="4" t="inlineStr">
        <is>
          <t>Versioned eval dataset.</t>
        </is>
      </c>
      <c r="I85" s="3" t="inlineStr">
        <is>
          <t>High</t>
        </is>
      </c>
      <c r="J85" s="3" t="inlineStr">
        <is>
          <t>Hard</t>
        </is>
      </c>
      <c r="K85" s="3" t="n">
        <v>4</v>
      </c>
      <c r="L85" s="3" t="inlineStr">
        <is>
          <t>Not Started</t>
        </is>
      </c>
      <c r="M85" s="3" t="n">
        <v>0</v>
      </c>
      <c r="N85" s="3" t="inlineStr"/>
      <c r="O85" s="3" t="inlineStr">
        <is>
          <t>2026-07-21</t>
        </is>
      </c>
      <c r="P85" s="3" t="inlineStr"/>
      <c r="Q85" s="3" t="inlineStr"/>
      <c r="R85" s="4" t="inlineStr"/>
    </row>
    <row r="86">
      <c r="A86" s="3" t="inlineStr">
        <is>
          <t>APE-085</t>
        </is>
      </c>
      <c r="B86" s="3" t="inlineStr">
        <is>
          <t>Evaluation + Observability</t>
        </is>
      </c>
      <c r="C86" s="3" t="inlineStr">
        <is>
          <t>Quality Engineering</t>
        </is>
      </c>
      <c r="D86" s="4" t="inlineStr">
        <is>
          <t>Faithfulness, answer relevance, and citation correctness metrics</t>
        </is>
      </c>
      <c r="E86" s="4" t="inlineStr">
        <is>
          <t>Builds on your LangSmith and token governance background.</t>
        </is>
      </c>
      <c r="F86" s="4" t="inlineStr">
        <is>
          <t>Measure factual grounding beyond user satisfaction.</t>
        </is>
      </c>
      <c r="G86" s="4" t="inlineStr">
        <is>
          <t>Implement automated checks on cited evidence alignment.</t>
        </is>
      </c>
      <c r="H86" s="4" t="inlineStr">
        <is>
          <t>Metric report with failure examples.</t>
        </is>
      </c>
      <c r="I86" s="3" t="inlineStr">
        <is>
          <t>High</t>
        </is>
      </c>
      <c r="J86" s="3" t="inlineStr">
        <is>
          <t>Hard</t>
        </is>
      </c>
      <c r="K86" s="3" t="n">
        <v>4</v>
      </c>
      <c r="L86" s="3" t="inlineStr">
        <is>
          <t>Not Started</t>
        </is>
      </c>
      <c r="M86" s="3" t="n">
        <v>0</v>
      </c>
      <c r="N86" s="3" t="inlineStr"/>
      <c r="O86" s="3" t="inlineStr">
        <is>
          <t>2026-07-21</t>
        </is>
      </c>
      <c r="P86" s="3" t="inlineStr"/>
      <c r="Q86" s="3" t="inlineStr"/>
      <c r="R86" s="4" t="inlineStr"/>
    </row>
    <row r="87">
      <c r="A87" s="3" t="inlineStr">
        <is>
          <t>APE-086</t>
        </is>
      </c>
      <c r="B87" s="3" t="inlineStr">
        <is>
          <t>Evaluation + Observability</t>
        </is>
      </c>
      <c r="C87" s="3" t="inlineStr">
        <is>
          <t>Quality Engineering</t>
        </is>
      </c>
      <c r="D87" s="4" t="inlineStr">
        <is>
          <t>LLM-as-judge reliability and calibration</t>
        </is>
      </c>
      <c r="E87" s="4" t="inlineStr">
        <is>
          <t>Builds on your LangSmith and token governance background.</t>
        </is>
      </c>
      <c r="F87" s="4" t="inlineStr">
        <is>
          <t>Use judge models carefully with human spot checks.</t>
        </is>
      </c>
      <c r="G87" s="4" t="inlineStr">
        <is>
          <t>Compare judge scores with human ratings on sample set.</t>
        </is>
      </c>
      <c r="H87" s="4" t="inlineStr">
        <is>
          <t>Judge calibration summary.</t>
        </is>
      </c>
      <c r="I87" s="3" t="inlineStr">
        <is>
          <t>High</t>
        </is>
      </c>
      <c r="J87" s="3" t="inlineStr">
        <is>
          <t>Hard</t>
        </is>
      </c>
      <c r="K87" s="3" t="n">
        <v>4</v>
      </c>
      <c r="L87" s="3" t="inlineStr">
        <is>
          <t>Not Started</t>
        </is>
      </c>
      <c r="M87" s="3" t="n">
        <v>0</v>
      </c>
      <c r="N87" s="3" t="inlineStr"/>
      <c r="O87" s="3" t="inlineStr">
        <is>
          <t>2026-07-28</t>
        </is>
      </c>
      <c r="P87" s="3" t="inlineStr"/>
      <c r="Q87" s="3" t="inlineStr"/>
      <c r="R87" s="4" t="inlineStr"/>
    </row>
    <row r="88">
      <c r="A88" s="3" t="inlineStr">
        <is>
          <t>APE-087</t>
        </is>
      </c>
      <c r="B88" s="3" t="inlineStr">
        <is>
          <t>Evaluation + Observability</t>
        </is>
      </c>
      <c r="C88" s="3" t="inlineStr">
        <is>
          <t>Quality Engineering</t>
        </is>
      </c>
      <c r="D88" s="4" t="inlineStr">
        <is>
          <t>Regression testing for prompts, retrievers, and tools</t>
        </is>
      </c>
      <c r="E88" s="4" t="inlineStr">
        <is>
          <t>Builds on your LangSmith and token governance background.</t>
        </is>
      </c>
      <c r="F88" s="4" t="inlineStr">
        <is>
          <t>Prevent silent quality regressions after updates.</t>
        </is>
      </c>
      <c r="G88" s="4" t="inlineStr">
        <is>
          <t>Create CI eval gate with pass thresholds.</t>
        </is>
      </c>
      <c r="H88" s="4" t="inlineStr">
        <is>
          <t>CI output and threshold config.</t>
        </is>
      </c>
      <c r="I88" s="3" t="inlineStr">
        <is>
          <t>High</t>
        </is>
      </c>
      <c r="J88" s="3" t="inlineStr">
        <is>
          <t>Hard</t>
        </is>
      </c>
      <c r="K88" s="3" t="n">
        <v>4</v>
      </c>
      <c r="L88" s="3" t="inlineStr">
        <is>
          <t>Not Started</t>
        </is>
      </c>
      <c r="M88" s="3" t="n">
        <v>0</v>
      </c>
      <c r="N88" s="3" t="inlineStr"/>
      <c r="O88" s="3" t="inlineStr">
        <is>
          <t>2026-07-28</t>
        </is>
      </c>
      <c r="P88" s="3" t="inlineStr"/>
      <c r="Q88" s="3" t="inlineStr"/>
      <c r="R88" s="4" t="inlineStr"/>
    </row>
    <row r="89">
      <c r="A89" s="3" t="inlineStr">
        <is>
          <t>APE-088</t>
        </is>
      </c>
      <c r="B89" s="3" t="inlineStr">
        <is>
          <t>Evaluation + Observability</t>
        </is>
      </c>
      <c r="C89" s="3" t="inlineStr">
        <is>
          <t>Quality Engineering</t>
        </is>
      </c>
      <c r="D89" s="4" t="inlineStr">
        <is>
          <t>Tracing strategy for graph and tool execution</t>
        </is>
      </c>
      <c r="E89" s="4" t="inlineStr">
        <is>
          <t>Builds on your LangSmith and token governance background.</t>
        </is>
      </c>
      <c r="F89" s="4" t="inlineStr">
        <is>
          <t>Debug failures quickly across multi-step flows.</t>
        </is>
      </c>
      <c r="G89" s="4" t="inlineStr">
        <is>
          <t>Instrument one workflow with stage-level traces.</t>
        </is>
      </c>
      <c r="H89" s="4" t="inlineStr">
        <is>
          <t>Trace screenshots and issue triage examples.</t>
        </is>
      </c>
      <c r="I89" s="3" t="inlineStr">
        <is>
          <t>High</t>
        </is>
      </c>
      <c r="J89" s="3" t="inlineStr">
        <is>
          <t>Hard</t>
        </is>
      </c>
      <c r="K89" s="3" t="n">
        <v>3</v>
      </c>
      <c r="L89" s="3" t="inlineStr">
        <is>
          <t>Not Started</t>
        </is>
      </c>
      <c r="M89" s="3" t="n">
        <v>0</v>
      </c>
      <c r="N89" s="3" t="inlineStr"/>
      <c r="O89" s="3" t="inlineStr">
        <is>
          <t>2026-07-28</t>
        </is>
      </c>
      <c r="P89" s="3" t="inlineStr"/>
      <c r="Q89" s="3" t="inlineStr"/>
      <c r="R89" s="4" t="inlineStr"/>
    </row>
    <row r="90">
      <c r="A90" s="3" t="inlineStr">
        <is>
          <t>APE-089</t>
        </is>
      </c>
      <c r="B90" s="3" t="inlineStr">
        <is>
          <t>Evaluation + Observability</t>
        </is>
      </c>
      <c r="C90" s="3" t="inlineStr">
        <is>
          <t>Quality Engineering</t>
        </is>
      </c>
      <c r="D90" s="4" t="inlineStr">
        <is>
          <t>SLOs for latency, quality, and cost</t>
        </is>
      </c>
      <c r="E90" s="4" t="inlineStr">
        <is>
          <t>Builds on your LangSmith and token governance background.</t>
        </is>
      </c>
      <c r="F90" s="4" t="inlineStr">
        <is>
          <t>Define production reliability targets for AI systems.</t>
        </is>
      </c>
      <c r="G90" s="4" t="inlineStr">
        <is>
          <t>Set and monitor SLO dashboard with alerts.</t>
        </is>
      </c>
      <c r="H90" s="4" t="inlineStr">
        <is>
          <t>SLO definition and weekly review template.</t>
        </is>
      </c>
      <c r="I90" s="3" t="inlineStr">
        <is>
          <t>High</t>
        </is>
      </c>
      <c r="J90" s="3" t="inlineStr">
        <is>
          <t>Hard</t>
        </is>
      </c>
      <c r="K90" s="3" t="n">
        <v>3</v>
      </c>
      <c r="L90" s="3" t="inlineStr">
        <is>
          <t>Not Started</t>
        </is>
      </c>
      <c r="M90" s="3" t="n">
        <v>0</v>
      </c>
      <c r="N90" s="3" t="inlineStr"/>
      <c r="O90" s="3" t="inlineStr">
        <is>
          <t>2026-07-28</t>
        </is>
      </c>
      <c r="P90" s="3" t="inlineStr"/>
      <c r="Q90" s="3" t="inlineStr"/>
      <c r="R90" s="4" t="inlineStr"/>
    </row>
    <row r="91">
      <c r="A91" s="3" t="inlineStr">
        <is>
          <t>APE-090</t>
        </is>
      </c>
      <c r="B91" s="3" t="inlineStr">
        <is>
          <t>Cost + Performance Engineering</t>
        </is>
      </c>
      <c r="C91" s="3" t="inlineStr">
        <is>
          <t>Efficiency</t>
        </is>
      </c>
      <c r="D91" s="4" t="inlineStr">
        <is>
          <t>Token cost modeling per request path</t>
        </is>
      </c>
      <c r="E91" s="4" t="inlineStr">
        <is>
          <t>Supports sustainable product delivery and token governance.</t>
        </is>
      </c>
      <c r="F91" s="4" t="inlineStr">
        <is>
          <t>Break down cost by prompt, retrieval, and generation stages.</t>
        </is>
      </c>
      <c r="G91" s="4" t="inlineStr">
        <is>
          <t>Build cost calculator tied to trace logs.</t>
        </is>
      </c>
      <c r="H91" s="4" t="inlineStr">
        <is>
          <t>Cost model sheet.</t>
        </is>
      </c>
      <c r="I91" s="3" t="inlineStr">
        <is>
          <t>Medium</t>
        </is>
      </c>
      <c r="J91" s="3" t="inlineStr">
        <is>
          <t>Medium</t>
        </is>
      </c>
      <c r="K91" s="3" t="n">
        <v>3</v>
      </c>
      <c r="L91" s="3" t="inlineStr">
        <is>
          <t>Not Started</t>
        </is>
      </c>
      <c r="M91" s="3" t="n">
        <v>0</v>
      </c>
      <c r="N91" s="3" t="inlineStr"/>
      <c r="O91" s="3" t="inlineStr">
        <is>
          <t>2026-07-28</t>
        </is>
      </c>
      <c r="P91" s="3" t="inlineStr"/>
      <c r="Q91" s="3" t="inlineStr"/>
      <c r="R91" s="4" t="inlineStr"/>
    </row>
    <row r="92">
      <c r="A92" s="3" t="inlineStr">
        <is>
          <t>APE-091</t>
        </is>
      </c>
      <c r="B92" s="3" t="inlineStr">
        <is>
          <t>Cost + Performance Engineering</t>
        </is>
      </c>
      <c r="C92" s="3" t="inlineStr">
        <is>
          <t>Efficiency</t>
        </is>
      </c>
      <c r="D92" s="4" t="inlineStr">
        <is>
          <t>Caching strategies (response, retrieval, embedding)</t>
        </is>
      </c>
      <c r="E92" s="4" t="inlineStr">
        <is>
          <t>Supports sustainable product delivery and token governance.</t>
        </is>
      </c>
      <c r="F92" s="4" t="inlineStr">
        <is>
          <t>Reduce repeated compute without harming freshness.</t>
        </is>
      </c>
      <c r="G92" s="4" t="inlineStr">
        <is>
          <t>Implement multi-layer cache with invalidation rules.</t>
        </is>
      </c>
      <c r="H92" s="4" t="inlineStr">
        <is>
          <t>Cache hit-rate report.</t>
        </is>
      </c>
      <c r="I92" s="3" t="inlineStr">
        <is>
          <t>Medium</t>
        </is>
      </c>
      <c r="J92" s="3" t="inlineStr">
        <is>
          <t>Medium</t>
        </is>
      </c>
      <c r="K92" s="3" t="n">
        <v>4</v>
      </c>
      <c r="L92" s="3" t="inlineStr">
        <is>
          <t>Not Started</t>
        </is>
      </c>
      <c r="M92" s="3" t="n">
        <v>0</v>
      </c>
      <c r="N92" s="3" t="inlineStr"/>
      <c r="O92" s="3" t="inlineStr">
        <is>
          <t>2026-08-04</t>
        </is>
      </c>
      <c r="P92" s="3" t="inlineStr"/>
      <c r="Q92" s="3" t="inlineStr"/>
      <c r="R92" s="4" t="inlineStr"/>
    </row>
    <row r="93">
      <c r="A93" s="3" t="inlineStr">
        <is>
          <t>APE-092</t>
        </is>
      </c>
      <c r="B93" s="3" t="inlineStr">
        <is>
          <t>Cost + Performance Engineering</t>
        </is>
      </c>
      <c r="C93" s="3" t="inlineStr">
        <is>
          <t>Efficiency</t>
        </is>
      </c>
      <c r="D93" s="4" t="inlineStr">
        <is>
          <t>Model routing by intent and complexity</t>
        </is>
      </c>
      <c r="E93" s="4" t="inlineStr">
        <is>
          <t>Supports sustainable product delivery and token governance.</t>
        </is>
      </c>
      <c r="F93" s="4" t="inlineStr">
        <is>
          <t>Use cheaper models where quality allows.</t>
        </is>
      </c>
      <c r="G93" s="4" t="inlineStr">
        <is>
          <t>Design and test route policy across at least 2 models.</t>
        </is>
      </c>
      <c r="H93" s="4" t="inlineStr">
        <is>
          <t>Routing policy with savings estimate.</t>
        </is>
      </c>
      <c r="I93" s="3" t="inlineStr">
        <is>
          <t>Medium</t>
        </is>
      </c>
      <c r="J93" s="3" t="inlineStr">
        <is>
          <t>Medium</t>
        </is>
      </c>
      <c r="K93" s="3" t="n">
        <v>4</v>
      </c>
      <c r="L93" s="3" t="inlineStr">
        <is>
          <t>Not Started</t>
        </is>
      </c>
      <c r="M93" s="3" t="n">
        <v>0</v>
      </c>
      <c r="N93" s="3" t="inlineStr"/>
      <c r="O93" s="3" t="inlineStr">
        <is>
          <t>2026-08-04</t>
        </is>
      </c>
      <c r="P93" s="3" t="inlineStr"/>
      <c r="Q93" s="3" t="inlineStr"/>
      <c r="R93" s="4" t="inlineStr"/>
    </row>
    <row r="94">
      <c r="A94" s="3" t="inlineStr">
        <is>
          <t>APE-093</t>
        </is>
      </c>
      <c r="B94" s="3" t="inlineStr">
        <is>
          <t>Cost + Performance Engineering</t>
        </is>
      </c>
      <c r="C94" s="3" t="inlineStr">
        <is>
          <t>Efficiency</t>
        </is>
      </c>
      <c r="D94" s="4" t="inlineStr">
        <is>
          <t>Latency budgeting and timeout envelopes</t>
        </is>
      </c>
      <c r="E94" s="4" t="inlineStr">
        <is>
          <t>Supports sustainable product delivery and token governance.</t>
        </is>
      </c>
      <c r="F94" s="4" t="inlineStr">
        <is>
          <t>Allocate latency budget across pipeline stages.</t>
        </is>
      </c>
      <c r="G94" s="4" t="inlineStr">
        <is>
          <t>Profile p50/p95 per stage and optimize bottlenecks.</t>
        </is>
      </c>
      <c r="H94" s="4" t="inlineStr">
        <is>
          <t>Latency budget worksheet.</t>
        </is>
      </c>
      <c r="I94" s="3" t="inlineStr">
        <is>
          <t>Medium</t>
        </is>
      </c>
      <c r="J94" s="3" t="inlineStr">
        <is>
          <t>Medium</t>
        </is>
      </c>
      <c r="K94" s="3" t="n">
        <v>3</v>
      </c>
      <c r="L94" s="3" t="inlineStr">
        <is>
          <t>Not Started</t>
        </is>
      </c>
      <c r="M94" s="3" t="n">
        <v>0</v>
      </c>
      <c r="N94" s="3" t="inlineStr"/>
      <c r="O94" s="3" t="inlineStr">
        <is>
          <t>2026-08-04</t>
        </is>
      </c>
      <c r="P94" s="3" t="inlineStr"/>
      <c r="Q94" s="3" t="inlineStr"/>
      <c r="R94" s="4" t="inlineStr"/>
    </row>
    <row r="95">
      <c r="A95" s="3" t="inlineStr">
        <is>
          <t>APE-094</t>
        </is>
      </c>
      <c r="B95" s="3" t="inlineStr">
        <is>
          <t>Cost + Performance Engineering</t>
        </is>
      </c>
      <c r="C95" s="3" t="inlineStr">
        <is>
          <t>Efficiency</t>
        </is>
      </c>
      <c r="D95" s="4" t="inlineStr">
        <is>
          <t>Batching and parallel retrieval/tool calls</t>
        </is>
      </c>
      <c r="E95" s="4" t="inlineStr">
        <is>
          <t>Supports sustainable product delivery and token governance.</t>
        </is>
      </c>
      <c r="F95" s="4" t="inlineStr">
        <is>
          <t>Improve throughput in high-volume workflows.</t>
        </is>
      </c>
      <c r="G95" s="4" t="inlineStr">
        <is>
          <t>Parallelize independent tool calls and compare throughput.</t>
        </is>
      </c>
      <c r="H95" s="4" t="inlineStr">
        <is>
          <t>Performance benchmark output.</t>
        </is>
      </c>
      <c r="I95" s="3" t="inlineStr">
        <is>
          <t>Medium</t>
        </is>
      </c>
      <c r="J95" s="3" t="inlineStr">
        <is>
          <t>Medium</t>
        </is>
      </c>
      <c r="K95" s="3" t="n">
        <v>3</v>
      </c>
      <c r="L95" s="3" t="inlineStr">
        <is>
          <t>Not Started</t>
        </is>
      </c>
      <c r="M95" s="3" t="n">
        <v>0</v>
      </c>
      <c r="N95" s="3" t="inlineStr"/>
      <c r="O95" s="3" t="inlineStr">
        <is>
          <t>2026-08-04</t>
        </is>
      </c>
      <c r="P95" s="3" t="inlineStr"/>
      <c r="Q95" s="3" t="inlineStr"/>
      <c r="R95" s="4" t="inlineStr"/>
    </row>
    <row r="96">
      <c r="A96" s="3" t="inlineStr">
        <is>
          <t>APE-095</t>
        </is>
      </c>
      <c r="B96" s="3" t="inlineStr">
        <is>
          <t>Cost + Performance Engineering</t>
        </is>
      </c>
      <c r="C96" s="3" t="inlineStr">
        <is>
          <t>Efficiency</t>
        </is>
      </c>
      <c r="D96" s="4" t="inlineStr">
        <is>
          <t>Capacity planning for enterprise AI APIs</t>
        </is>
      </c>
      <c r="E96" s="4" t="inlineStr">
        <is>
          <t>Supports sustainable product delivery and token governance.</t>
        </is>
      </c>
      <c r="F96" s="4" t="inlineStr">
        <is>
          <t>Estimate infra needs from request and token volume.</t>
        </is>
      </c>
      <c r="G96" s="4" t="inlineStr">
        <is>
          <t>Model monthly capacity for expected traffic scenarios.</t>
        </is>
      </c>
      <c r="H96" s="4" t="inlineStr">
        <is>
          <t>Capacity planning note.</t>
        </is>
      </c>
      <c r="I96" s="3" t="inlineStr">
        <is>
          <t>Medium</t>
        </is>
      </c>
      <c r="J96" s="3" t="inlineStr">
        <is>
          <t>Medium</t>
        </is>
      </c>
      <c r="K96" s="3" t="n">
        <v>3</v>
      </c>
      <c r="L96" s="3" t="inlineStr">
        <is>
          <t>Not Started</t>
        </is>
      </c>
      <c r="M96" s="3" t="n">
        <v>0</v>
      </c>
      <c r="N96" s="3" t="inlineStr"/>
      <c r="O96" s="3" t="inlineStr">
        <is>
          <t>2026-08-04</t>
        </is>
      </c>
      <c r="P96" s="3" t="inlineStr"/>
      <c r="Q96" s="3" t="inlineStr"/>
      <c r="R96" s="4" t="inlineStr"/>
    </row>
    <row r="97">
      <c r="A97" s="3" t="inlineStr">
        <is>
          <t>APE-096</t>
        </is>
      </c>
      <c r="B97" s="3" t="inlineStr">
        <is>
          <t>AI Product Thinking</t>
        </is>
      </c>
      <c r="C97" s="3" t="inlineStr">
        <is>
          <t>Product + Delivery</t>
        </is>
      </c>
      <c r="D97" s="4" t="inlineStr">
        <is>
          <t>Define product KPIs for AI features</t>
        </is>
      </c>
      <c r="E97" s="4" t="inlineStr">
        <is>
          <t>Helps convert technical work into measurable product outcomes.</t>
        </is>
      </c>
      <c r="F97" s="4" t="inlineStr">
        <is>
          <t>Track business and model quality goals together.</t>
        </is>
      </c>
      <c r="G97" s="4" t="inlineStr">
        <is>
          <t>Create KPI tree for one assistant feature.</t>
        </is>
      </c>
      <c r="H97" s="4" t="inlineStr">
        <is>
          <t>KPI dashboard blueprint.</t>
        </is>
      </c>
      <c r="I97" s="3" t="inlineStr">
        <is>
          <t>Medium</t>
        </is>
      </c>
      <c r="J97" s="3" t="inlineStr">
        <is>
          <t>Medium</t>
        </is>
      </c>
      <c r="K97" s="3" t="n">
        <v>2</v>
      </c>
      <c r="L97" s="3" t="inlineStr">
        <is>
          <t>Not Started</t>
        </is>
      </c>
      <c r="M97" s="3" t="n">
        <v>0</v>
      </c>
      <c r="N97" s="3" t="inlineStr"/>
      <c r="O97" s="3" t="inlineStr">
        <is>
          <t>2026-08-11</t>
        </is>
      </c>
      <c r="P97" s="3" t="inlineStr"/>
      <c r="Q97" s="3" t="inlineStr"/>
      <c r="R97" s="4" t="inlineStr"/>
    </row>
    <row r="98">
      <c r="A98" s="3" t="inlineStr">
        <is>
          <t>APE-097</t>
        </is>
      </c>
      <c r="B98" s="3" t="inlineStr">
        <is>
          <t>AI Product Thinking</t>
        </is>
      </c>
      <c r="C98" s="3" t="inlineStr">
        <is>
          <t>Product + Delivery</t>
        </is>
      </c>
      <c r="D98" s="4" t="inlineStr">
        <is>
          <t>Failure mode analysis and user trust design</t>
        </is>
      </c>
      <c r="E98" s="4" t="inlineStr">
        <is>
          <t>Helps convert technical work into measurable product outcomes.</t>
        </is>
      </c>
      <c r="F98" s="4" t="inlineStr">
        <is>
          <t>Design UX and policy for low-confidence outputs.</t>
        </is>
      </c>
      <c r="G98" s="4" t="inlineStr">
        <is>
          <t>Map top 10 failure modes to mitigation UX.</t>
        </is>
      </c>
      <c r="H98" s="4" t="inlineStr">
        <is>
          <t>Failure-to-UX mapping table.</t>
        </is>
      </c>
      <c r="I98" s="3" t="inlineStr">
        <is>
          <t>Medium</t>
        </is>
      </c>
      <c r="J98" s="3" t="inlineStr">
        <is>
          <t>Medium</t>
        </is>
      </c>
      <c r="K98" s="3" t="n">
        <v>3</v>
      </c>
      <c r="L98" s="3" t="inlineStr">
        <is>
          <t>Not Started</t>
        </is>
      </c>
      <c r="M98" s="3" t="n">
        <v>0</v>
      </c>
      <c r="N98" s="3" t="inlineStr"/>
      <c r="O98" s="3" t="inlineStr">
        <is>
          <t>2026-08-11</t>
        </is>
      </c>
      <c r="P98" s="3" t="inlineStr"/>
      <c r="Q98" s="3" t="inlineStr"/>
      <c r="R98" s="4" t="inlineStr"/>
    </row>
    <row r="99">
      <c r="A99" s="3" t="inlineStr">
        <is>
          <t>APE-098</t>
        </is>
      </c>
      <c r="B99" s="3" t="inlineStr">
        <is>
          <t>AI Product Thinking</t>
        </is>
      </c>
      <c r="C99" s="3" t="inlineStr">
        <is>
          <t>Product + Delivery</t>
        </is>
      </c>
      <c r="D99" s="4" t="inlineStr">
        <is>
          <t>Experiment design for AI feature rollouts</t>
        </is>
      </c>
      <c r="E99" s="4" t="inlineStr">
        <is>
          <t>Helps convert technical work into measurable product outcomes.</t>
        </is>
      </c>
      <c r="F99" s="4" t="inlineStr">
        <is>
          <t>Run safe experiments for quality and adoption impact.</t>
        </is>
      </c>
      <c r="G99" s="4" t="inlineStr">
        <is>
          <t>Write experiment plan with sample size assumptions.</t>
        </is>
      </c>
      <c r="H99" s="4" t="inlineStr">
        <is>
          <t>Experiment PRD section.</t>
        </is>
      </c>
      <c r="I99" s="3" t="inlineStr">
        <is>
          <t>Medium</t>
        </is>
      </c>
      <c r="J99" s="3" t="inlineStr">
        <is>
          <t>Medium</t>
        </is>
      </c>
      <c r="K99" s="3" t="n">
        <v>3</v>
      </c>
      <c r="L99" s="3" t="inlineStr">
        <is>
          <t>Not Started</t>
        </is>
      </c>
      <c r="M99" s="3" t="n">
        <v>0</v>
      </c>
      <c r="N99" s="3" t="inlineStr"/>
      <c r="O99" s="3" t="inlineStr">
        <is>
          <t>2026-08-11</t>
        </is>
      </c>
      <c r="P99" s="3" t="inlineStr"/>
      <c r="Q99" s="3" t="inlineStr"/>
      <c r="R99" s="4" t="inlineStr"/>
    </row>
    <row r="100">
      <c r="A100" s="3" t="inlineStr">
        <is>
          <t>APE-099</t>
        </is>
      </c>
      <c r="B100" s="3" t="inlineStr">
        <is>
          <t>AI Product Thinking</t>
        </is>
      </c>
      <c r="C100" s="3" t="inlineStr">
        <is>
          <t>Product + Delivery</t>
        </is>
      </c>
      <c r="D100" s="4" t="inlineStr">
        <is>
          <t>Trade-off communication with stakeholders</t>
        </is>
      </c>
      <c r="E100" s="4" t="inlineStr">
        <is>
          <t>Helps convert technical work into measurable product outcomes.</t>
        </is>
      </c>
      <c r="F100" s="4" t="inlineStr">
        <is>
          <t>Explain quality-cost-latency trade-offs clearly.</t>
        </is>
      </c>
      <c r="G100" s="4" t="inlineStr">
        <is>
          <t>Present one architecture decision to non-technical audience.</t>
        </is>
      </c>
      <c r="H100" s="4" t="inlineStr">
        <is>
          <t>Slide deck or decision memo.</t>
        </is>
      </c>
      <c r="I100" s="3" t="inlineStr">
        <is>
          <t>Medium</t>
        </is>
      </c>
      <c r="J100" s="3" t="inlineStr">
        <is>
          <t>Medium</t>
        </is>
      </c>
      <c r="K100" s="3" t="n">
        <v>2</v>
      </c>
      <c r="L100" s="3" t="inlineStr">
        <is>
          <t>Not Started</t>
        </is>
      </c>
      <c r="M100" s="3" t="n">
        <v>0</v>
      </c>
      <c r="N100" s="3" t="inlineStr"/>
      <c r="O100" s="3" t="inlineStr">
        <is>
          <t>2026-08-11</t>
        </is>
      </c>
      <c r="P100" s="3" t="inlineStr"/>
      <c r="Q100" s="3" t="inlineStr"/>
      <c r="R100" s="4" t="inlineStr"/>
    </row>
    <row r="101">
      <c r="A101" s="3" t="inlineStr">
        <is>
          <t>APE-100</t>
        </is>
      </c>
      <c r="B101" s="3" t="inlineStr">
        <is>
          <t>AI Product Thinking</t>
        </is>
      </c>
      <c r="C101" s="3" t="inlineStr">
        <is>
          <t>Product + Delivery</t>
        </is>
      </c>
      <c r="D101" s="4" t="inlineStr">
        <is>
          <t>Build-versus-buy decisions for AI infrastructure</t>
        </is>
      </c>
      <c r="E101" s="4" t="inlineStr">
        <is>
          <t>Helps convert technical work into measurable product outcomes.</t>
        </is>
      </c>
      <c r="F101" s="4" t="inlineStr">
        <is>
          <t>Choose platform dependencies with long-term view.</t>
        </is>
      </c>
      <c r="G101" s="4" t="inlineStr">
        <is>
          <t>Compare 2 vendor options vs in-house approach.</t>
        </is>
      </c>
      <c r="H101" s="4" t="inlineStr">
        <is>
          <t>Decision memo with risk register.</t>
        </is>
      </c>
      <c r="I101" s="3" t="inlineStr">
        <is>
          <t>Medium</t>
        </is>
      </c>
      <c r="J101" s="3" t="inlineStr">
        <is>
          <t>Medium</t>
        </is>
      </c>
      <c r="K101" s="3" t="n">
        <v>3</v>
      </c>
      <c r="L101" s="3" t="inlineStr">
        <is>
          <t>Not Started</t>
        </is>
      </c>
      <c r="M101" s="3" t="n">
        <v>0</v>
      </c>
      <c r="N101" s="3" t="inlineStr"/>
      <c r="O101" s="3" t="inlineStr">
        <is>
          <t>2026-08-11</t>
        </is>
      </c>
      <c r="P101" s="3" t="inlineStr"/>
      <c r="Q101" s="3" t="inlineStr"/>
      <c r="R101" s="4" t="inlineStr"/>
    </row>
  </sheetData>
  <autoFilter ref="A1:R101"/>
  <conditionalFormatting sqref="M2:M1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L2:L101" showDropDown="0" showInputMessage="0" showErrorMessage="0" allowBlank="1" type="list">
      <formula1>"Not Started,Learning,Practicing,Project Applied,Reviewed,Completed,Blocked"</formula1>
    </dataValidation>
    <dataValidation sqref="M2:M101" showDropDown="0" showInputMessage="0" showErrorMessage="0" allowBlank="0" type="whole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>
      <c r="A1" s="5" t="inlineStr">
        <is>
          <t>Metric</t>
        </is>
      </c>
      <c r="B1" s="5" t="inlineStr">
        <is>
          <t>Value</t>
        </is>
      </c>
      <c r="C1" s="5" t="n"/>
      <c r="D1" s="5" t="n"/>
    </row>
    <row r="2">
      <c r="A2" t="inlineStr">
        <is>
          <t>Total Topics</t>
        </is>
      </c>
      <c r="B2">
        <f>COUNTA(Learning_Roadmap!A:A)-1</f>
        <v/>
      </c>
    </row>
    <row r="3">
      <c r="A3" t="inlineStr">
        <is>
          <t>Completed</t>
        </is>
      </c>
      <c r="B3">
        <f>COUNTIF(Learning_Roadmap!L:L,"Completed")</f>
        <v/>
      </c>
    </row>
    <row r="4">
      <c r="A4" t="inlineStr">
        <is>
          <t>In Progress</t>
        </is>
      </c>
      <c r="B4">
        <f>COUNTIF(Learning_Roadmap!L:L,"Learning")+COUNTIF(Learning_Roadmap!L:L,"Practicing")+COUNTIF(Learning_Roadmap!L:L,"Project Applied")</f>
        <v/>
      </c>
    </row>
    <row r="5">
      <c r="A5" t="inlineStr">
        <is>
          <t>Blocked</t>
        </is>
      </c>
      <c r="B5">
        <f>COUNTIF(Learning_Roadmap!L:L,"Blocked")</f>
        <v/>
      </c>
    </row>
    <row r="6">
      <c r="A6" t="inlineStr">
        <is>
          <t>Completion %</t>
        </is>
      </c>
      <c r="B6" s="6">
        <f>IF(B2=0,0,B3/B2)</f>
        <v/>
      </c>
    </row>
    <row r="7">
      <c r="A7" t="inlineStr">
        <is>
          <t>Total Planned Hours</t>
        </is>
      </c>
      <c r="B7">
        <f>SUM(Learning_Roadmap!K:K)</f>
        <v/>
      </c>
    </row>
    <row r="8">
      <c r="A8" t="inlineStr">
        <is>
          <t>Hours Completed (estimated)</t>
        </is>
      </c>
      <c r="B8">
        <f>SUMIFS(Learning_Roadmap!K:K,Learning_Roadmap!L:L,"Completed")</f>
        <v/>
      </c>
    </row>
    <row r="10">
      <c r="A10" t="inlineStr">
        <is>
          <t>Category</t>
        </is>
      </c>
      <c r="B10" t="inlineStr">
        <is>
          <t>Total</t>
        </is>
      </c>
      <c r="C10" t="inlineStr">
        <is>
          <t>Completed</t>
        </is>
      </c>
      <c r="D10" t="inlineStr">
        <is>
          <t>Progress</t>
        </is>
      </c>
    </row>
    <row r="11">
      <c r="A11" t="inlineStr">
        <is>
          <t>Math + Retrieval Foundations</t>
        </is>
      </c>
      <c r="B11">
        <f>COUNTIF(Learning_Roadmap!B:B,A11)</f>
        <v/>
      </c>
      <c r="C11">
        <f>COUNTIFS(Learning_Roadmap!B:B,A11,Learning_Roadmap!L:L,"Completed")</f>
        <v/>
      </c>
      <c r="D11" s="6">
        <f>IF(B11=0,0,C11/B11)</f>
        <v/>
      </c>
    </row>
    <row r="12">
      <c r="A12" t="inlineStr">
        <is>
          <t>Python for AI Product Engineering</t>
        </is>
      </c>
      <c r="B12">
        <f>COUNTIF(Learning_Roadmap!B:B,A12)</f>
        <v/>
      </c>
      <c r="C12">
        <f>COUNTIFS(Learning_Roadmap!B:B,A12,Learning_Roadmap!L:L,"Completed")</f>
        <v/>
      </c>
      <c r="D12" s="6">
        <f>IF(B12=0,0,C12/B12)</f>
        <v/>
      </c>
    </row>
    <row r="13">
      <c r="A13" t="inlineStr">
        <is>
          <t>LLM Fundamentals</t>
        </is>
      </c>
      <c r="B13">
        <f>COUNTIF(Learning_Roadmap!B:B,A13)</f>
        <v/>
      </c>
      <c r="C13">
        <f>COUNTIFS(Learning_Roadmap!B:B,A13,Learning_Roadmap!L:L,"Completed")</f>
        <v/>
      </c>
      <c r="D13" s="6">
        <f>IF(B13=0,0,C13/B13)</f>
        <v/>
      </c>
    </row>
    <row r="14">
      <c r="A14" t="inlineStr">
        <is>
          <t>Prompting + Structured Outputs</t>
        </is>
      </c>
      <c r="B14">
        <f>COUNTIF(Learning_Roadmap!B:B,A14)</f>
        <v/>
      </c>
      <c r="C14">
        <f>COUNTIFS(Learning_Roadmap!B:B,A14,Learning_Roadmap!L:L,"Completed")</f>
        <v/>
      </c>
      <c r="D14" s="6">
        <f>IF(B14=0,0,C14/B14)</f>
        <v/>
      </c>
    </row>
    <row r="15">
      <c r="A15" t="inlineStr">
        <is>
          <t>Embeddings</t>
        </is>
      </c>
      <c r="B15">
        <f>COUNTIF(Learning_Roadmap!B:B,A15)</f>
        <v/>
      </c>
      <c r="C15">
        <f>COUNTIFS(Learning_Roadmap!B:B,A15,Learning_Roadmap!L:L,"Completed")</f>
        <v/>
      </c>
      <c r="D15" s="6">
        <f>IF(B15=0,0,C15/B15)</f>
        <v/>
      </c>
    </row>
    <row r="16">
      <c r="A16" t="inlineStr">
        <is>
          <t>Vector Databases</t>
        </is>
      </c>
      <c r="B16">
        <f>COUNTIF(Learning_Roadmap!B:B,A16)</f>
        <v/>
      </c>
      <c r="C16">
        <f>COUNTIFS(Learning_Roadmap!B:B,A16,Learning_Roadmap!L:L,"Completed")</f>
        <v/>
      </c>
      <c r="D16" s="6">
        <f>IF(B16=0,0,C16/B16)</f>
        <v/>
      </c>
    </row>
    <row r="17">
      <c r="A17" t="inlineStr">
        <is>
          <t>RAG Engineering</t>
        </is>
      </c>
      <c r="B17">
        <f>COUNTIF(Learning_Roadmap!B:B,A17)</f>
        <v/>
      </c>
      <c r="C17">
        <f>COUNTIFS(Learning_Roadmap!B:B,A17,Learning_Roadmap!L:L,"Completed")</f>
        <v/>
      </c>
      <c r="D17" s="6">
        <f>IF(B17=0,0,C17/B17)</f>
        <v/>
      </c>
    </row>
    <row r="18">
      <c r="A18" t="inlineStr">
        <is>
          <t>Agentic AI Systems</t>
        </is>
      </c>
      <c r="B18">
        <f>COUNTIF(Learning_Roadmap!B:B,A18)</f>
        <v/>
      </c>
      <c r="C18">
        <f>COUNTIFS(Learning_Roadmap!B:B,A18,Learning_Roadmap!L:L,"Completed")</f>
        <v/>
      </c>
      <c r="D18" s="6">
        <f>IF(B18=0,0,C18/B18)</f>
        <v/>
      </c>
    </row>
    <row r="19">
      <c r="A19" t="inlineStr">
        <is>
          <t>FastAPI + Backend Systems</t>
        </is>
      </c>
      <c r="B19">
        <f>COUNTIF(Learning_Roadmap!B:B,A19)</f>
        <v/>
      </c>
      <c r="C19">
        <f>COUNTIFS(Learning_Roadmap!B:B,A19,Learning_Roadmap!L:L,"Completed")</f>
        <v/>
      </c>
      <c r="D19" s="6">
        <f>IF(B19=0,0,C19/B19)</f>
        <v/>
      </c>
    </row>
    <row r="20">
      <c r="A20" t="inlineStr">
        <is>
          <t>Data Architecture for AI Products</t>
        </is>
      </c>
      <c r="B20">
        <f>COUNTIF(Learning_Roadmap!B:B,A20)</f>
        <v/>
      </c>
      <c r="C20">
        <f>COUNTIFS(Learning_Roadmap!B:B,A20,Learning_Roadmap!L:L,"Completed")</f>
        <v/>
      </c>
      <c r="D20" s="6">
        <f>IF(B20=0,0,C20/B20)</f>
        <v/>
      </c>
    </row>
    <row r="21">
      <c r="A21" t="inlineStr">
        <is>
          <t>Safety + Guardrails</t>
        </is>
      </c>
      <c r="B21">
        <f>COUNTIF(Learning_Roadmap!B:B,A21)</f>
        <v/>
      </c>
      <c r="C21">
        <f>COUNTIFS(Learning_Roadmap!B:B,A21,Learning_Roadmap!L:L,"Completed")</f>
        <v/>
      </c>
      <c r="D21" s="6">
        <f>IF(B21=0,0,C21/B21)</f>
        <v/>
      </c>
    </row>
    <row r="22">
      <c r="A22" t="inlineStr">
        <is>
          <t>Evaluation + Observability</t>
        </is>
      </c>
      <c r="B22">
        <f>COUNTIF(Learning_Roadmap!B:B,A22)</f>
        <v/>
      </c>
      <c r="C22">
        <f>COUNTIFS(Learning_Roadmap!B:B,A22,Learning_Roadmap!L:L,"Completed")</f>
        <v/>
      </c>
      <c r="D22" s="6">
        <f>IF(B22=0,0,C22/B22)</f>
        <v/>
      </c>
    </row>
    <row r="23">
      <c r="A23" t="inlineStr">
        <is>
          <t>Cost + Performance Engineering</t>
        </is>
      </c>
      <c r="B23">
        <f>COUNTIF(Learning_Roadmap!B:B,A23)</f>
        <v/>
      </c>
      <c r="C23">
        <f>COUNTIFS(Learning_Roadmap!B:B,A23,Learning_Roadmap!L:L,"Completed")</f>
        <v/>
      </c>
      <c r="D23" s="6">
        <f>IF(B23=0,0,C23/B23)</f>
        <v/>
      </c>
    </row>
    <row r="24">
      <c r="A24" t="inlineStr">
        <is>
          <t>AI Product Thinking</t>
        </is>
      </c>
      <c r="B24">
        <f>COUNTIF(Learning_Roadmap!B:B,A24)</f>
        <v/>
      </c>
      <c r="C24">
        <f>COUNTIFS(Learning_Roadmap!B:B,A24,Learning_Roadmap!L:L,"Completed")</f>
        <v/>
      </c>
      <c r="D24" s="6">
        <f>IF(B24=0,0,C24/B24)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4" customWidth="1" min="3" max="3"/>
    <col width="46" customWidth="1" min="4" max="4"/>
    <col width="46" customWidth="1" min="5" max="5"/>
  </cols>
  <sheetData>
    <row r="1">
      <c r="A1" s="5" t="inlineStr">
        <is>
          <t>Week</t>
        </is>
      </c>
      <c r="B1" s="5" t="inlineStr">
        <is>
          <t>Primary Focus</t>
        </is>
      </c>
      <c r="C1" s="5" t="inlineStr">
        <is>
          <t>Suggested Topic IDs</t>
        </is>
      </c>
      <c r="D1" s="5" t="inlineStr">
        <is>
          <t>Expected Outcome</t>
        </is>
      </c>
      <c r="E1" s="5" t="inlineStr">
        <is>
          <t>Mini Project / Checkpoint</t>
        </is>
      </c>
    </row>
    <row r="2">
      <c r="A2" s="7" t="n">
        <v>1</v>
      </c>
      <c r="B2" s="7" t="inlineStr">
        <is>
          <t>Vector math + retrieval metrics</t>
        </is>
      </c>
      <c r="C2" s="7" t="inlineStr">
        <is>
          <t>APE-001 to APE-010</t>
        </is>
      </c>
      <c r="D2" s="7" t="inlineStr">
        <is>
          <t>You can explain cosine, dimensions, and retrieval metrics clearly.</t>
        </is>
      </c>
      <c r="E2" s="7" t="inlineStr">
        <is>
          <t>Write a notebook deriving cosine and evaluating recall@k.</t>
        </is>
      </c>
    </row>
    <row r="3">
      <c r="A3" s="7" t="n">
        <v>2</v>
      </c>
      <c r="B3" s="7" t="inlineStr">
        <is>
          <t>Python reliability foundations</t>
        </is>
      </c>
      <c r="C3" s="7" t="inlineStr">
        <is>
          <t>APE-011 to APE-016</t>
        </is>
      </c>
      <c r="D3" s="7" t="inlineStr">
        <is>
          <t>You write type-safe, testable Python modules.</t>
        </is>
      </c>
      <c r="E3" s="7" t="inlineStr">
        <is>
          <t>Refactor one parser/retriever module with tests and strict typing.</t>
        </is>
      </c>
    </row>
    <row r="4">
      <c r="A4" s="7" t="n">
        <v>3</v>
      </c>
      <c r="B4" s="7" t="inlineStr">
        <is>
          <t>Async and resilience patterns</t>
        </is>
      </c>
      <c r="C4" s="7" t="inlineStr">
        <is>
          <t>APE-017 to APE-020</t>
        </is>
      </c>
      <c r="D4" s="7" t="inlineStr">
        <is>
          <t>You can design safe concurrent AI calls.</t>
        </is>
      </c>
      <c r="E4" s="7" t="inlineStr">
        <is>
          <t>Implement async bounded worker pipeline.</t>
        </is>
      </c>
    </row>
    <row r="5">
      <c r="A5" s="7" t="n">
        <v>4</v>
      </c>
      <c r="B5" s="7" t="inlineStr">
        <is>
          <t>LLM internals + decoding</t>
        </is>
      </c>
      <c r="C5" s="7" t="inlineStr">
        <is>
          <t>APE-021 to APE-026</t>
        </is>
      </c>
      <c r="D5" s="7" t="inlineStr">
        <is>
          <t>You can choose model settings by task type.</t>
        </is>
      </c>
      <c r="E5" s="7" t="inlineStr">
        <is>
          <t>Build a decoding sweep benchmark.</t>
        </is>
      </c>
    </row>
    <row r="6">
      <c r="A6" s="7" t="n">
        <v>5</v>
      </c>
      <c r="B6" s="7" t="inlineStr">
        <is>
          <t>Prompting + schema outputs</t>
        </is>
      </c>
      <c r="C6" s="7" t="inlineStr">
        <is>
          <t>APE-027 to APE-035</t>
        </is>
      </c>
      <c r="D6" s="7" t="inlineStr">
        <is>
          <t>You generate stable, valid structured outputs.</t>
        </is>
      </c>
      <c r="E6" s="7" t="inlineStr">
        <is>
          <t>Build extraction service with schema validation and retries.</t>
        </is>
      </c>
    </row>
    <row r="7">
      <c r="A7" s="7" t="n">
        <v>6</v>
      </c>
      <c r="B7" s="7" t="inlineStr">
        <is>
          <t>Embeddings deep dive</t>
        </is>
      </c>
      <c r="C7" s="7" t="inlineStr">
        <is>
          <t>APE-036 to APE-041</t>
        </is>
      </c>
      <c r="D7" s="7" t="inlineStr">
        <is>
          <t>You can explain embedding lifecycle and drift.</t>
        </is>
      </c>
      <c r="E7" s="7" t="inlineStr">
        <is>
          <t>Run embedding model comparison on your own corpus.</t>
        </is>
      </c>
    </row>
    <row r="8">
      <c r="A8" s="7" t="n">
        <v>7</v>
      </c>
      <c r="B8" s="7" t="inlineStr">
        <is>
          <t>Vector DB internals</t>
        </is>
      </c>
      <c r="C8" s="7" t="inlineStr">
        <is>
          <t>APE-042 to APE-047</t>
        </is>
      </c>
      <c r="D8" s="7" t="inlineStr">
        <is>
          <t>You can tune ANN indexes with evidence.</t>
        </is>
      </c>
      <c r="E8" s="7" t="inlineStr">
        <is>
          <t>Benchmark HNSW and IVF-PQ trade-offs.</t>
        </is>
      </c>
    </row>
    <row r="9">
      <c r="A9" s="7" t="n">
        <v>8</v>
      </c>
      <c r="B9" s="7" t="inlineStr">
        <is>
          <t>RAG core pipeline</t>
        </is>
      </c>
      <c r="C9" s="7" t="inlineStr">
        <is>
          <t>APE-048 to APE-055</t>
        </is>
      </c>
      <c r="D9" s="7" t="inlineStr">
        <is>
          <t>You can build and evaluate production-ready RAG.</t>
        </is>
      </c>
      <c r="E9" s="7" t="inlineStr">
        <is>
          <t>Build a grounded citation-aware RAG prototype.</t>
        </is>
      </c>
    </row>
    <row r="10">
      <c r="A10" s="7" t="n">
        <v>9</v>
      </c>
      <c r="B10" s="7" t="inlineStr">
        <is>
          <t>Agentic orchestration</t>
        </is>
      </c>
      <c r="C10" s="7" t="inlineStr">
        <is>
          <t>APE-056 to APE-063</t>
        </is>
      </c>
      <c r="D10" s="7" t="inlineStr">
        <is>
          <t>You can justify when agentic design is needed.</t>
        </is>
      </c>
      <c r="E10" s="7" t="inlineStr">
        <is>
          <t>Implement HITL interrupt-resume graph workflow.</t>
        </is>
      </c>
    </row>
    <row r="11">
      <c r="A11" s="7" t="n">
        <v>10</v>
      </c>
      <c r="B11" s="7" t="inlineStr">
        <is>
          <t>FastAPI production depth</t>
        </is>
      </c>
      <c r="C11" s="7" t="inlineStr">
        <is>
          <t>APE-064 to APE-071</t>
        </is>
      </c>
      <c r="D11" s="7" t="inlineStr">
        <is>
          <t>You can expose AI services with reliability patterns.</t>
        </is>
      </c>
      <c r="E11" s="7" t="inlineStr">
        <is>
          <t>Build FastAPI app with streaming, auth, and rate limits.</t>
        </is>
      </c>
    </row>
    <row r="12">
      <c r="A12" s="7" t="n">
        <v>11</v>
      </c>
      <c r="B12" s="7" t="inlineStr">
        <is>
          <t>Data architecture + safety</t>
        </is>
      </c>
      <c r="C12" s="7" t="inlineStr">
        <is>
          <t>APE-072 to APE-083</t>
        </is>
      </c>
      <c r="D12" s="7" t="inlineStr">
        <is>
          <t>You can design secure multi-store AI systems.</t>
        </is>
      </c>
      <c r="E12" s="7" t="inlineStr">
        <is>
          <t>Write architecture and threat model for one real use case.</t>
        </is>
      </c>
    </row>
    <row r="13">
      <c r="A13" s="7" t="n">
        <v>12</v>
      </c>
      <c r="B13" s="7" t="inlineStr">
        <is>
          <t>Eval, cost, and product framing</t>
        </is>
      </c>
      <c r="C13" s="7" t="inlineStr">
        <is>
          <t>APE-084 onward</t>
        </is>
      </c>
      <c r="D13" s="7" t="inlineStr">
        <is>
          <t>You can run quality gates and cost-aware decisions.</t>
        </is>
      </c>
      <c r="E13" s="7" t="inlineStr">
        <is>
          <t>Create dashboard with eval metrics and cost model.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6" customWidth="1" min="2" max="2"/>
    <col width="72" customWidth="1" min="3" max="3"/>
  </cols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What a Strong Answer Includes</t>
        </is>
      </c>
    </row>
    <row r="2">
      <c r="A2" s="7" t="inlineStr">
        <is>
          <t>RAG Engineering</t>
        </is>
      </c>
      <c r="B2" s="7" t="inlineStr">
        <is>
          <t>Walk me through every stage of a production RAG pipeline and where failures usually happen.</t>
        </is>
      </c>
      <c r="C2" s="7" t="inlineStr">
        <is>
          <t>Ingestion quality, chunking, retrieval config, reranking, context packing, grounded generation, evaluation, and feedback loops.</t>
        </is>
      </c>
    </row>
    <row r="3">
      <c r="A3" s="7" t="inlineStr">
        <is>
          <t>Vector Databases</t>
        </is>
      </c>
      <c r="B3" s="7" t="inlineStr">
        <is>
          <t>Why use a vector DB when you already have PostgreSQL?</t>
        </is>
      </c>
      <c r="C3" s="7" t="inlineStr">
        <is>
          <t>ANN indexes, semantic nearest-neighbor capabilities, scale/performance trade-offs, and hybrid architecture patterns.</t>
        </is>
      </c>
    </row>
    <row r="4">
      <c r="A4" s="7" t="inlineStr">
        <is>
          <t>Vector Databases</t>
        </is>
      </c>
      <c r="B4" s="7" t="inlineStr">
        <is>
          <t>How does cosine similarity work and when can it fail?</t>
        </is>
      </c>
      <c r="C4" s="7" t="inlineStr">
        <is>
          <t>Formula, angle intuition, normalization assumptions, and examples where euclidean/dot are better.</t>
        </is>
      </c>
    </row>
    <row r="5">
      <c r="A5" s="7" t="inlineStr">
        <is>
          <t>Embeddings</t>
        </is>
      </c>
      <c r="B5" s="7" t="inlineStr">
        <is>
          <t>What is an embedding and how is it generated from text?</t>
        </is>
      </c>
      <c r="C5" s="7" t="inlineStr">
        <is>
          <t>Tokenizer to model forward pass, pooling strategy, dimension meaning, and model selection criteria.</t>
        </is>
      </c>
    </row>
    <row r="6">
      <c r="A6" s="7" t="inlineStr">
        <is>
          <t>Embeddings</t>
        </is>
      </c>
      <c r="B6" s="7" t="inlineStr">
        <is>
          <t>How does an LLM use retrieved embeddings if it cannot read vectors directly?</t>
        </is>
      </c>
      <c r="C6" s="7" t="inlineStr">
        <is>
          <t>Retriever converts vectors to top documents/chunks; LLM consumes text context with citations.</t>
        </is>
      </c>
    </row>
    <row r="7">
      <c r="A7" s="7" t="inlineStr">
        <is>
          <t>Agentic AI Systems</t>
        </is>
      </c>
      <c r="B7" s="7" t="inlineStr">
        <is>
          <t>What is the difference between an agent and a normal Python workflow?</t>
        </is>
      </c>
      <c r="C7" s="7" t="inlineStr">
        <is>
          <t>Autonomy, planning, uncertainty handling, tool decision loops, and when deterministic code is safer.</t>
        </is>
      </c>
    </row>
    <row r="8">
      <c r="A8" s="7" t="inlineStr">
        <is>
          <t>Prompting + Structured Outputs</t>
        </is>
      </c>
      <c r="B8" s="7" t="inlineStr">
        <is>
          <t>How do you guarantee valid structured output from an LLM?</t>
        </is>
      </c>
      <c r="C8" s="7" t="inlineStr">
        <is>
          <t>Schema-constrained generation, parser validation, retry/repair loop, and fallback behavior.</t>
        </is>
      </c>
    </row>
    <row r="9">
      <c r="A9" s="7" t="inlineStr">
        <is>
          <t>FastAPI + Backend Systems</t>
        </is>
      </c>
      <c r="B9" s="7" t="inlineStr">
        <is>
          <t>How would you design a FastAPI endpoint for long-running document ingestion?</t>
        </is>
      </c>
      <c r="C9" s="7" t="inlineStr">
        <is>
          <t>Async request acceptance, job queue, idempotency keys, progress status endpoint, and failure retries.</t>
        </is>
      </c>
    </row>
    <row r="10">
      <c r="A10" s="7" t="inlineStr">
        <is>
          <t>Safety + Guardrails</t>
        </is>
      </c>
      <c r="B10" s="7" t="inlineStr">
        <is>
          <t>How do you defend against prompt injection in enterprise RAG?</t>
        </is>
      </c>
      <c r="C10" s="7" t="inlineStr">
        <is>
          <t>Layered controls: sanitization, retrieval constraints, policy checks, tool permissions, output filters, and audit logs.</t>
        </is>
      </c>
    </row>
    <row r="11">
      <c r="A11" s="7" t="inlineStr">
        <is>
          <t>Evaluation + Observability</t>
        </is>
      </c>
      <c r="B11" s="7" t="inlineStr">
        <is>
          <t>How do you know your LLM system got better after a change?</t>
        </is>
      </c>
      <c r="C11" s="7" t="inlineStr">
        <is>
          <t>Golden datasets, offline metrics, online metrics, regression gates, statistical confidence, and trace analysis.</t>
        </is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5" t="inlineStr">
        <is>
          <t>Step</t>
        </is>
      </c>
      <c r="B1" s="5" t="inlineStr">
        <is>
          <t>Instruction</t>
        </is>
      </c>
    </row>
    <row r="2">
      <c r="A2" s="7" t="n">
        <v>1</v>
      </c>
      <c r="B2" s="7" t="inlineStr">
        <is>
          <t>Start with Priority=High topics in Learning_Roadmap.</t>
        </is>
      </c>
    </row>
    <row r="3">
      <c r="A3" s="7" t="n">
        <v>2</v>
      </c>
      <c r="B3" s="7" t="inlineStr">
        <is>
          <t>Set Status and Progress_% every day or every study session.</t>
        </is>
      </c>
    </row>
    <row r="4">
      <c r="A4" s="7" t="n">
        <v>3</v>
      </c>
      <c r="B4" s="7" t="inlineStr">
        <is>
          <t>Do not mark Completed unless Proof_Artifact exists.</t>
        </is>
      </c>
    </row>
    <row r="5">
      <c r="A5" s="7" t="n">
        <v>4</v>
      </c>
      <c r="B5" s="7" t="inlineStr">
        <is>
          <t>Use Dashboard weekly to track completion and blocked items.</t>
        </is>
      </c>
    </row>
    <row r="6">
      <c r="A6" s="7" t="n">
        <v>5</v>
      </c>
      <c r="B6" s="7" t="inlineStr">
        <is>
          <t>Follow 90_Day_Plan as baseline and adjust target dates based on your pace.</t>
        </is>
      </c>
    </row>
    <row r="7">
      <c r="A7" s="7" t="n">
        <v>6</v>
      </c>
      <c r="B7" s="7" t="inlineStr">
        <is>
          <t>For every category, build at least one mini-project and one interview-ready explanation.</t>
        </is>
      </c>
    </row>
    <row r="8">
      <c r="A8" s="7" t="n">
        <v>7</v>
      </c>
      <c r="B8" s="7" t="inlineStr">
        <is>
          <t>Add personal notes in Notes column: mistakes, fixes, and reusable patterns.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2026-03-24T10:50:34Z</dcterms:created>
  <dcterms:modified xmlns:dcterms="http://purl.org/dc/terms/" xmlns:xsi="http://www.w3.org/2001/XMLSchema-instance" xsi:type="dcterms:W3CDTF">2026-03-24T10:50:35Z</dcterms:modified>
</cp:coreProperties>
</file>